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 START HERE" sheetId="1" state="visible" r:id="rId3"/>
    <sheet name="📊 Products" sheetId="2" state="visible" r:id="rId4"/>
    <sheet name="⚖️ Regs &amp; Acts" sheetId="3" state="visible" r:id="rId5"/>
    <sheet name="🔢 Numbers" sheetId="4" state="visible" r:id="rId6"/>
    <sheet name="👥 Account Types" sheetId="5" state="visible" r:id="rId7"/>
    <sheet name="📈 Options" sheetId="6" state="visible" r:id="rId8"/>
    <sheet name="🎯 Weak Areas Log" sheetId="7" state="visible" r:id="rId9"/>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<sst xmlns="http://schemas.openxmlformats.org/spreadsheetml/2006/main" count="314" uniqueCount="294">
  <si>
    <t xml:space="preserve">SIE Master Comparison Spreadsheet</t>
  </si>
  <si>
    <t xml:space="preserve">Built for: Arlena Yagecic · Exam reschedule prep</t>
  </si>
  <si>
    <t xml:space="preserve">How to use this workbook</t>
  </si>
  <si>
    <t xml:space="preserve">1. Each tab is a comparison matrix for one topic area.</t>
  </si>
  <si>
    <t xml:space="preserve">2. The first row(s) of each tab are FILLED IN as examples — cream-colored italic rows.</t>
  </si>
  <si>
    <t xml:space="preserve">    They show you the format. You can keep them, edit them, or delete them.</t>
  </si>
  <si>
    <t xml:space="preserve">3. Empty rows below the examples are yours to fill in as you watch Knopman videos</t>
  </si>
  <si>
    <t xml:space="preserve">    or read chapters.</t>
  </si>
  <si>
    <t xml:space="preserve">4. Filling in the spreadsheet IS the studying. Don't skim a pre-filled sheet.</t>
  </si>
  <si>
    <t xml:space="preserve">    The active categorization is what makes content stick for your brain.</t>
  </si>
  <si>
    <t xml:space="preserve">Workflow:</t>
  </si>
  <si>
    <t xml:space="preserve">    a. Watch a Knopman chapter video.</t>
  </si>
  <si>
    <t xml:space="preserve">    b. Open the relevant tab and add rows for every product, reg, number, or</t>
  </si>
  <si>
    <t xml:space="preserve">       concept introduced. Use the example row as your template.</t>
  </si>
  <si>
    <t xml:space="preserve">    c. Take the chapter quiz.</t>
  </si>
  <si>
    <t xml:space="preserve">    d. Log every wrong answer in the WEAK AREAS tab with the underlying topic.</t>
  </si>
  <si>
    <t xml:space="preserve">Tabs in order of build priority:</t>
  </si>
  <si>
    <t xml:space="preserve">  •  📊 Products</t>
  </si>
  <si>
    <t xml:space="preserve">Every security with risk profile, income, tax treatment, settlement</t>
  </si>
  <si>
    <t xml:space="preserve">  •  ⚖️ Regs &amp; Acts</t>
  </si>
  <si>
    <t xml:space="preserve">The five core securities acts + key SEC/FINRA/MSRB rules</t>
  </si>
  <si>
    <t xml:space="preserve">  •  🔢 Numbers</t>
  </si>
  <si>
    <t xml:space="preserve">Every threshold, dollar amount, percentage, time limit — pure memorization</t>
  </si>
  <si>
    <t xml:space="preserve">  •  👥 Account Types</t>
  </si>
  <si>
    <t xml:space="preserve">Cash, margin, retirement, custodial, business — by feature</t>
  </si>
  <si>
    <t xml:space="preserve">  •  📈 Options</t>
  </si>
  <si>
    <t xml:space="preserve">Calls, puts, strategies, max gain/loss, breakeven — your weakest area</t>
  </si>
  <si>
    <t xml:space="preserve">  •  🎯 Weak Areas Log</t>
  </si>
  <si>
    <t xml:space="preserve">Every wrong practice-exam answer + root-cause topic</t>
  </si>
  <si>
    <t xml:space="preserve">Pro tip</t>
  </si>
  <si>
    <t xml:space="preserve">Filter and sort each tab to test yourself. Sort Products by 'Tax Treatment' and you instantly see groupings the prose hides. Sort Numbers ascending and you see the whole memorization landscape at once. That re-sorting is the magic.</t>
  </si>
  <si>
    <t xml:space="preserve">Products — Securities Comparison Matrix</t>
  </si>
  <si>
    <t xml:space="preserve">Every security in one view. Sort by any column to expose hidden groupings.</t>
  </si>
  <si>
    <t xml:space="preserve">Product Name</t>
  </si>
  <si>
    <t xml:space="preserve">Category</t>
  </si>
  <si>
    <t xml:space="preserve">Issuer Type</t>
  </si>
  <si>
    <t xml:space="preserve">Income Type</t>
  </si>
  <si>
    <t xml:space="preserve">Risk Level</t>
  </si>
  <si>
    <t xml:space="preserve">Tax Treatment</t>
  </si>
  <si>
    <t xml:space="preserve">Settlement</t>
  </si>
  <si>
    <t xml:space="preserve">Key Reg / Act</t>
  </si>
  <si>
    <t xml:space="preserve">Trading Venue</t>
  </si>
  <si>
    <t xml:space="preserve">Notes / Mnemonics</t>
  </si>
  <si>
    <t xml:space="preserve">Products to add as you study</t>
  </si>
  <si>
    <t xml:space="preserve">Common Stock</t>
  </si>
  <si>
    <t xml:space="preserve">Equity</t>
  </si>
  <si>
    <t xml:space="preserve">Corporation</t>
  </si>
  <si>
    <t xml:space="preserve">Dividends (qualified)</t>
  </si>
  <si>
    <t xml:space="preserve">High (market risk, no upside cap)</t>
  </si>
  <si>
    <t xml:space="preserve">Qualified div rate (0/15/20%); LT cap gains</t>
  </si>
  <si>
    <t xml:space="preserve">T+1</t>
  </si>
  <si>
    <t xml:space="preserve">Securities Act 1933 (issue); Exchange Act 1934 (trading)</t>
  </si>
  <si>
    <t xml:space="preserve">Exchange or OTC</t>
  </si>
  <si>
    <t xml:space="preserve">Voting rights. Last in line at liquidation. No maturity.</t>
  </si>
  <si>
    <t xml:space="preserve">← example</t>
  </si>
  <si>
    <t xml:space="preserve">☐  Preferred Stock</t>
  </si>
  <si>
    <t xml:space="preserve">Municipal Revenue Bond</t>
  </si>
  <si>
    <t xml:space="preserve">Debt — Municipal</t>
  </si>
  <si>
    <t xml:space="preserve">State/local government</t>
  </si>
  <si>
    <t xml:space="preserve">Interest (semi-annual)</t>
  </si>
  <si>
    <t xml:space="preserve">Moderate (project-dependent)</t>
  </si>
  <si>
    <t xml:space="preserve">Federally tax-EXEMPT; may be state-exempt if in-state</t>
  </si>
  <si>
    <t xml:space="preserve">MSRB rules (FINRA enforces)</t>
  </si>
  <si>
    <t xml:space="preserve">OTC</t>
  </si>
  <si>
    <t xml:space="preserve">Backed ONLY by project revenue, not full faith &amp; credit.</t>
  </si>
  <si>
    <t xml:space="preserve">☐  ADRs</t>
  </si>
  <si>
    <t xml:space="preserve">☐  Rights</t>
  </si>
  <si>
    <t xml:space="preserve">☐  Warrants</t>
  </si>
  <si>
    <t xml:space="preserve">☐  Corporate Bonds</t>
  </si>
  <si>
    <t xml:space="preserve">☐  Convertible Bonds</t>
  </si>
  <si>
    <t xml:space="preserve">☐  GO Municipal Bonds</t>
  </si>
  <si>
    <t xml:space="preserve">☐  T-Bills</t>
  </si>
  <si>
    <t xml:space="preserve">☐  T-Notes</t>
  </si>
  <si>
    <t xml:space="preserve">☐  T-Bonds</t>
  </si>
  <si>
    <t xml:space="preserve">☐  TIPS</t>
  </si>
  <si>
    <t xml:space="preserve">☐  STRIPS</t>
  </si>
  <si>
    <t xml:space="preserve">☐  GNMA / FNMA / FHLMC MBS</t>
  </si>
  <si>
    <t xml:space="preserve">☐  CMOs</t>
  </si>
  <si>
    <t xml:space="preserve">☐  Mutual Funds (A/B/C/I)</t>
  </si>
  <si>
    <t xml:space="preserve">☐  ETFs</t>
  </si>
  <si>
    <t xml:space="preserve">☐  UITs</t>
  </si>
  <si>
    <t xml:space="preserve">☐  Closed-End Funds</t>
  </si>
  <si>
    <t xml:space="preserve">☐  REITs (Equity / Mortgage / Hybrid)</t>
  </si>
  <si>
    <t xml:space="preserve">☐  DPPs</t>
  </si>
  <si>
    <t xml:space="preserve">☐  Hedge Funds</t>
  </si>
  <si>
    <t xml:space="preserve">☐  Variable Annuities</t>
  </si>
  <si>
    <t xml:space="preserve">☐  Fixed Annuities</t>
  </si>
  <si>
    <t xml:space="preserve">☐  Options (Equity)</t>
  </si>
  <si>
    <t xml:space="preserve">☐  Options (Index)</t>
  </si>
  <si>
    <t xml:space="preserve">☐  CDs</t>
  </si>
  <si>
    <t xml:space="preserve">☐  Commercial Paper</t>
  </si>
  <si>
    <t xml:space="preserve">☐  Bankers Acceptances</t>
  </si>
  <si>
    <t xml:space="preserve">☐  Repos</t>
  </si>
  <si>
    <t xml:space="preserve">Regulations &amp; Acts — Reference Matrix</t>
  </si>
  <si>
    <t xml:space="preserve">The five core acts + the rules that drop on the exam.</t>
  </si>
  <si>
    <t xml:space="preserve">Act / Rule</t>
  </si>
  <si>
    <t xml:space="preserve">Year</t>
  </si>
  <si>
    <t xml:space="preserve">Nickname</t>
  </si>
  <si>
    <t xml:space="preserve">Market Covered</t>
  </si>
  <si>
    <t xml:space="preserve">Key Provisions</t>
  </si>
  <si>
    <t xml:space="preserve">Who Enforces</t>
  </si>
  <si>
    <t xml:space="preserve">Common Exam Trap</t>
  </si>
  <si>
    <t xml:space="preserve">Acts &amp; rules to add</t>
  </si>
  <si>
    <t xml:space="preserve">Securities Act of 1933</t>
  </si>
  <si>
    <t xml:space="preserve">1933</t>
  </si>
  <si>
    <t xml:space="preserve">The Paper Act / Truth in Securities</t>
  </si>
  <si>
    <t xml:space="preserve">PRIMARY (new issues)</t>
  </si>
  <si>
    <t xml:space="preserve">Registration of new issues; prospectus; cooling-off period (min 20 days); civil liability for misstatements</t>
  </si>
  <si>
    <t xml:space="preserve">SEC</t>
  </si>
  <si>
    <t xml:space="preserve">Confused with 1934 Act. Remember: 1933 = NEW issues, 1934 = TRADING.</t>
  </si>
  <si>
    <t xml:space="preserve">☐  Investment Company Act of 1940</t>
  </si>
  <si>
    <t xml:space="preserve">Securities Exchange Act of 1934</t>
  </si>
  <si>
    <t xml:space="preserve">1934</t>
  </si>
  <si>
    <t xml:space="preserve">The People Act</t>
  </si>
  <si>
    <t xml:space="preserve">SECONDARY (trading)</t>
  </si>
  <si>
    <t xml:space="preserve">Created SEC; regulates B/Ds and exchanges; insider trading rules; Sec 16 reports; proxy rules</t>
  </si>
  <si>
    <t xml:space="preserve">Trick: created the SEC, not the 1933 Act.</t>
  </si>
  <si>
    <t xml:space="preserve">☐  Investment Advisers Act of 1940</t>
  </si>
  <si>
    <t xml:space="preserve">☐  Trust Indenture Act of 1939</t>
  </si>
  <si>
    <t xml:space="preserve">☐  Insider Trading &amp; Securities Fraud Enforcement Act 1988</t>
  </si>
  <si>
    <t xml:space="preserve">☐  Sarbanes-Oxley 2002</t>
  </si>
  <si>
    <t xml:space="preserve">☐  Dodd-Frank 2010</t>
  </si>
  <si>
    <t xml:space="preserve">☐  JOBS Act 2012</t>
  </si>
  <si>
    <t xml:space="preserve">☐  Securities Investor Protection Act 1970 (SIPC)</t>
  </si>
  <si>
    <t xml:space="preserve">☐  Bank Secrecy Act / Patriot Act (AML)</t>
  </si>
  <si>
    <t xml:space="preserve">☐  Rule 144 (resale of restricted/control stock)</t>
  </si>
  <si>
    <t xml:space="preserve">☐  Rule 145, 147, 147A</t>
  </si>
  <si>
    <t xml:space="preserve">☐  Reg A (Tier 1 / Tier 2)</t>
  </si>
  <si>
    <t xml:space="preserve">☐  Reg D (504, 506b, 506c)</t>
  </si>
  <si>
    <t xml:space="preserve">☐  Reg S (offshore)</t>
  </si>
  <si>
    <t xml:space="preserve">☐  Reg T (margin — Fed)</t>
  </si>
  <si>
    <t xml:space="preserve">☐  Reg U, Reg M, Reg SHO, Reg BI</t>
  </si>
  <si>
    <t xml:space="preserve">☐  Form CRS</t>
  </si>
  <si>
    <t xml:space="preserve">☐  Customer Identification Program (CIP)</t>
  </si>
  <si>
    <t xml:space="preserve">Numbers to Memorize — Pure Recall</t>
  </si>
  <si>
    <t xml:space="preserve">Every threshold, dollar amount, percentage, time limit. Sort by Topic Area to study in chunks.</t>
  </si>
  <si>
    <t xml:space="preserve">Number / Threshold</t>
  </si>
  <si>
    <t xml:space="preserve">Topic Area</t>
  </si>
  <si>
    <t xml:space="preserve">What It Is</t>
  </si>
  <si>
    <t xml:space="preserve">Memory Hook</t>
  </si>
  <si>
    <t xml:space="preserve">Reg Source</t>
  </si>
  <si>
    <t xml:space="preserve">Numbers to add as you study</t>
  </si>
  <si>
    <t xml:space="preserve">50%</t>
  </si>
  <si>
    <t xml:space="preserve">Margin</t>
  </si>
  <si>
    <t xml:space="preserve">Regulation T initial margin requirement set by the Federal Reserve</t>
  </si>
  <si>
    <t xml:space="preserve">Fifty for the Fed (Reg T = Fed)</t>
  </si>
  <si>
    <t xml:space="preserve">Reg T</t>
  </si>
  <si>
    <t xml:space="preserve">☐  Reg T — 50%</t>
  </si>
  <si>
    <t xml:space="preserve">$500,000 / $250,000</t>
  </si>
  <si>
    <t xml:space="preserve">SIPC</t>
  </si>
  <si>
    <t xml:space="preserve">SIPC max coverage per customer total / cash sub-limit</t>
  </si>
  <si>
    <t xml:space="preserve">"5 total, 2.5 cash"</t>
  </si>
  <si>
    <t xml:space="preserve">SIPA 1970</t>
  </si>
  <si>
    <t xml:space="preserve">☐  Maintenance margin (long) — 25%</t>
  </si>
  <si>
    <t xml:space="preserve">Standard settlement for equities, bonds, ETFs, options (May 2024+)</t>
  </si>
  <si>
    <t xml:space="preserve">Trade day + 1</t>
  </si>
  <si>
    <t xml:space="preserve">Exchange Act</t>
  </si>
  <si>
    <t xml:space="preserve">☐  Maintenance margin (short) — 30%</t>
  </si>
  <si>
    <t xml:space="preserve">☐  PDT minimum — $25,000</t>
  </si>
  <si>
    <t xml:space="preserve">☐  Cooling-off period — 20 days min</t>
  </si>
  <si>
    <t xml:space="preserve">☐  Quiet period — 25 days after IPO (NYSE listed)</t>
  </si>
  <si>
    <t xml:space="preserve">☐  13D filing — within 10 days of crossing 5%</t>
  </si>
  <si>
    <t xml:space="preserve">☐  Form 4 — within 2 business days</t>
  </si>
  <si>
    <t xml:space="preserve">☐  Accredited investor — $200K / $300K / $1M</t>
  </si>
  <si>
    <t xml:space="preserve">☐  QIB — $100M</t>
  </si>
  <si>
    <t xml:space="preserve">☐  SIPC — $500K / $250K cash</t>
  </si>
  <si>
    <t xml:space="preserve">☐  Reg A Tier 1 — $20M</t>
  </si>
  <si>
    <t xml:space="preserve">☐  Reg A Tier 2 — $75M</t>
  </si>
  <si>
    <t xml:space="preserve">☐  Rule 144 — 6 mo / 12 mo holding</t>
  </si>
  <si>
    <t xml:space="preserve">☐  IRA contribution limit — current year</t>
  </si>
  <si>
    <t xml:space="preserve">☐  Catch-up contribution — age 50+</t>
  </si>
  <si>
    <t xml:space="preserve">☐  RMD age — 73 (was 72)</t>
  </si>
  <si>
    <t xml:space="preserve">☐  CTR — $10,000+</t>
  </si>
  <si>
    <t xml:space="preserve">☐  SAR — $5,000+</t>
  </si>
  <si>
    <t xml:space="preserve">☐  12b-1 max — 0.75% + 0.25%</t>
  </si>
  <si>
    <t xml:space="preserve">☐  No-load definition — ≤ 0.25%</t>
  </si>
  <si>
    <t xml:space="preserve">☐  Mutual fund pricing — 4:00 PM ET forward</t>
  </si>
  <si>
    <t xml:space="preserve">☐  Options expiration — 3rd Friday 11:59 PM</t>
  </si>
  <si>
    <t xml:space="preserve">☐  529 contribution — annual gift exclusion</t>
  </si>
  <si>
    <t xml:space="preserve">☐  Wash sale — 30 days before/after</t>
  </si>
  <si>
    <t xml:space="preserve">Account Types — Side-by-Side Reference</t>
  </si>
  <si>
    <t xml:space="preserve">Tax-advantaged + standard account types in one comparison.</t>
  </si>
  <si>
    <t xml:space="preserve">Account Type</t>
  </si>
  <si>
    <t xml:space="preserve">Owner(s)</t>
  </si>
  <si>
    <t xml:space="preserve">Contribution Limit</t>
  </si>
  <si>
    <t xml:space="preserve">Withdrawal Rules</t>
  </si>
  <si>
    <t xml:space="preserve">Key Distinction</t>
  </si>
  <si>
    <t xml:space="preserve">Suitability Notes</t>
  </si>
  <si>
    <t xml:space="preserve">Accounts to add</t>
  </si>
  <si>
    <t xml:space="preserve">Traditional IRA</t>
  </si>
  <si>
    <t xml:space="preserve">Individual</t>
  </si>
  <si>
    <t xml:space="preserve">Pre-tax contributions; taxed as ordinary income at withdrawal</t>
  </si>
  <si>
    <t xml:space="preserve">Current year IRS limit (check current year)</t>
  </si>
  <si>
    <t xml:space="preserve">59½ minimum age (10% penalty before); RMDs starting age 73</t>
  </si>
  <si>
    <t xml:space="preserve">Tax NOW deferred, tax LATER required</t>
  </si>
  <si>
    <t xml:space="preserve">Best for clients expecting LOWER tax bracket in retirement</t>
  </si>
  <si>
    <t xml:space="preserve">☐  Individual Cash</t>
  </si>
  <si>
    <t xml:space="preserve">Roth IRA</t>
  </si>
  <si>
    <t xml:space="preserve">After-tax contributions; qualified withdrawals tax-FREE</t>
  </si>
  <si>
    <t xml:space="preserve">Same dollar limit as Traditional, but income phase-outs apply</t>
  </si>
  <si>
    <t xml:space="preserve">Contributions anytime tax/penalty-free; earnings 59½ + 5-year rule</t>
  </si>
  <si>
    <t xml:space="preserve">Pay NOW, free LATER. No RMDs during owner lifetime.</t>
  </si>
  <si>
    <t xml:space="preserve">Best for clients expecting HIGHER bracket in retirement; younger investors</t>
  </si>
  <si>
    <t xml:space="preserve">☐  Joint Tenants in Common (JTIC)</t>
  </si>
  <si>
    <t xml:space="preserve">☐  Joint Tenants with Right of Survivorship (JTWROS)</t>
  </si>
  <si>
    <t xml:space="preserve">☐  Margin Account</t>
  </si>
  <si>
    <t xml:space="preserve">☐  Discretionary</t>
  </si>
  <si>
    <t xml:space="preserve">☐  Custodial UTMA</t>
  </si>
  <si>
    <t xml:space="preserve">☐  Custodial UGMA</t>
  </si>
  <si>
    <t xml:space="preserve">☐  529 Plan</t>
  </si>
  <si>
    <t xml:space="preserve">☐  Coverdell ESA</t>
  </si>
  <si>
    <t xml:space="preserve">☐  SEP IRA</t>
  </si>
  <si>
    <t xml:space="preserve">☐  SIMPLE IRA</t>
  </si>
  <si>
    <t xml:space="preserve">☐  401(k)</t>
  </si>
  <si>
    <t xml:space="preserve">☐  Roth 401(k)</t>
  </si>
  <si>
    <t xml:space="preserve">☐  Solo 401(k)</t>
  </si>
  <si>
    <t xml:space="preserve">☐  403(b)</t>
  </si>
  <si>
    <t xml:space="preserve">☐  457(b)</t>
  </si>
  <si>
    <t xml:space="preserve">☐  Sole Proprietorship</t>
  </si>
  <si>
    <t xml:space="preserve">☐  Partnership</t>
  </si>
  <si>
    <t xml:space="preserve">☐  Corporation</t>
  </si>
  <si>
    <t xml:space="preserve">☐  LLC</t>
  </si>
  <si>
    <t xml:space="preserve">☐  Trust (Revocable / Irrevocable)</t>
  </si>
  <si>
    <t xml:space="preserve">☐  TOD / POD designations</t>
  </si>
  <si>
    <t xml:space="preserve">Options — Strategies, Outcomes, Breakevens</t>
  </si>
  <si>
    <t xml:space="preserve">Your weakest territory. Treat every row as a flashcard.</t>
  </si>
  <si>
    <t xml:space="preserve">Position</t>
  </si>
  <si>
    <t xml:space="preserve">Outlook</t>
  </si>
  <si>
    <t xml:space="preserve">Max Gain</t>
  </si>
  <si>
    <t xml:space="preserve">Max Loss</t>
  </si>
  <si>
    <t xml:space="preserve">Breakeven</t>
  </si>
  <si>
    <t xml:space="preserve">When to Use</t>
  </si>
  <si>
    <t xml:space="preserve">Notes</t>
  </si>
  <si>
    <t xml:space="preserve">Positions &amp; strategies to add</t>
  </si>
  <si>
    <t xml:space="preserve">Long Call</t>
  </si>
  <si>
    <t xml:space="preserve">Bullish</t>
  </si>
  <si>
    <t xml:space="preserve">Unlimited (stock has no upside cap)</t>
  </si>
  <si>
    <t xml:space="preserve">Premium paid</t>
  </si>
  <si>
    <t xml:space="preserve">Strike + Premium</t>
  </si>
  <si>
    <t xml:space="preserve">Strong bullish view, leverage with capped downside</t>
  </si>
  <si>
    <t xml:space="preserve">Right (not obligation) to BUY 100 shares at strike</t>
  </si>
  <si>
    <t xml:space="preserve">☐  Short (Naked) Put</t>
  </si>
  <si>
    <t xml:space="preserve">Long Put</t>
  </si>
  <si>
    <t xml:space="preserve">Bearish</t>
  </si>
  <si>
    <t xml:space="preserve">Strike - Premium (stock goes to $0)</t>
  </si>
  <si>
    <t xml:space="preserve">Strike - Premium</t>
  </si>
  <si>
    <t xml:space="preserve">Hedge a long stock position, or speculate down</t>
  </si>
  <si>
    <t xml:space="preserve">Right to SELL 100 shares at strike</t>
  </si>
  <si>
    <t xml:space="preserve">☐  Covered Call</t>
  </si>
  <si>
    <t xml:space="preserve">Short (Naked) Call</t>
  </si>
  <si>
    <t xml:space="preserve">Bearish to neutral</t>
  </si>
  <si>
    <t xml:space="preserve">Premium received</t>
  </si>
  <si>
    <t xml:space="preserve">UNLIMITED</t>
  </si>
  <si>
    <t xml:space="preserve">Generate premium income, expect price to stay below strike</t>
  </si>
  <si>
    <t xml:space="preserve">Highest risk strategy on the exam</t>
  </si>
  <si>
    <t xml:space="preserve">☐  Protective Put</t>
  </si>
  <si>
    <t xml:space="preserve">☐  Long Straddle</t>
  </si>
  <si>
    <t xml:space="preserve">☐  Short Straddle</t>
  </si>
  <si>
    <t xml:space="preserve">☐  Long Strangle</t>
  </si>
  <si>
    <t xml:space="preserve">☐  Short Strangle</t>
  </si>
  <si>
    <t xml:space="preserve">☐  Bull Call Spread (Debit)</t>
  </si>
  <si>
    <t xml:space="preserve">☐  Bear Call Spread (Credit)</t>
  </si>
  <si>
    <t xml:space="preserve">☐  Bull Put Spread (Credit)</t>
  </si>
  <si>
    <t xml:space="preserve">☐  Bear Put Spread (Debit)</t>
  </si>
  <si>
    <t xml:space="preserve">☐  Iron Condor</t>
  </si>
  <si>
    <t xml:space="preserve">☐  Butterfly</t>
  </si>
  <si>
    <t xml:space="preserve">☐  Collar</t>
  </si>
  <si>
    <t xml:space="preserve">---</t>
  </si>
  <si>
    <t xml:space="preserve">KEY FORMULAS:</t>
  </si>
  <si>
    <t xml:space="preserve">Call breakeven = Strike + Premium</t>
  </si>
  <si>
    <t xml:space="preserve">Put breakeven = Strike - Premium</t>
  </si>
  <si>
    <t xml:space="preserve">Intrinsic value (call) = MAX(Stock - Strike, 0)</t>
  </si>
  <si>
    <t xml:space="preserve">Intrinsic value (put) = MAX(Strike - Stock, 0)</t>
  </si>
  <si>
    <t xml:space="preserve">Time value = Premium - Intrinsic value</t>
  </si>
  <si>
    <t xml:space="preserve">Weak Areas Log — Every Wrong Answer</t>
  </si>
  <si>
    <t xml:space="preserve">Every wrong practice question goes here. Status: New → Reviewing → Mastered.</t>
  </si>
  <si>
    <t xml:space="preserve">Date</t>
  </si>
  <si>
    <t xml:space="preserve">Source</t>
  </si>
  <si>
    <t xml:space="preserve">Question Topic</t>
  </si>
  <si>
    <t xml:space="preserve">What I Got Wrong</t>
  </si>
  <si>
    <t xml:space="preserve">Correct Concept</t>
  </si>
  <si>
    <t xml:space="preserve">Status</t>
  </si>
  <si>
    <t xml:space="preserve">Reviewed Date</t>
  </si>
  <si>
    <t xml:space="preserve">Quick stats</t>
  </si>
  <si>
    <t xml:space="preserve">2026-05-30</t>
  </si>
  <si>
    <t xml:space="preserve">Real exam (56%)</t>
  </si>
  <si>
    <t xml:space="preserve">Options - Naked call max loss</t>
  </si>
  <si>
    <t xml:space="preserve">Picked "premium received" — wrong, that is max gain</t>
  </si>
  <si>
    <t xml:space="preserve">Max loss on naked call is UNLIMITED. Stock can rise infinitely.</t>
  </si>
  <si>
    <t xml:space="preserve">Reviewing</t>
  </si>
  <si>
    <t xml:space="preserve">Total logged:</t>
  </si>
  <si>
    <t xml:space="preserve">Mastered:</t>
  </si>
  <si>
    <t xml:space="preserve">Reviewing:</t>
  </si>
  <si>
    <t xml:space="preserve">% Mastered:</t>
  </si>
</sst>
</file>

<file path=xl/styles.xml><?xml version="1.0" encoding="utf-8"?>
<styleSheet xmlns="http://schemas.openxmlformats.org/spreadsheetml/2006/main">
  <numFmts count="3">
    <numFmt numFmtId="164" formatCode="General"/>
    <numFmt numFmtId="165" formatCode="General"/>
    <numFmt numFmtId="166" formatCode="0%"/>
  </numFmts>
  <fonts count="22">
    <font>
      <sz val="11"/>
      <color theme="1"/>
      <name val="Calibri"/>
      <family val="2"/>
      <charset val="1"/>
    </font>
    <font>
      <sz val="10"/>
      <name val="Arial"/>
      <family val="0"/>
    </font>
    <font>
      <sz val="10"/>
      <name val="Arial"/>
      <family val="0"/>
    </font>
    <font>
      <sz val="10"/>
      <name val="Arial"/>
      <family val="0"/>
    </font>
    <font>
      <b val="true"/>
      <sz val="20"/>
      <color rgb="FF2C2C2C"/>
      <name val="Calibri"/>
      <family val="0"/>
      <charset val="1"/>
    </font>
    <font>
      <i val="true"/>
      <sz val="11"/>
      <color rgb="FF6A6A6A"/>
      <name val="Calibri"/>
      <family val="0"/>
      <charset val="1"/>
    </font>
    <font>
      <b val="true"/>
      <sz val="14"/>
      <color rgb="FF2C2C2C"/>
      <name val="Calibri"/>
      <family val="0"/>
      <charset val="1"/>
    </font>
    <font>
      <sz val="11"/>
      <color rgb="FF2C2C2C"/>
      <name val="Calibri"/>
      <family val="0"/>
      <charset val="1"/>
    </font>
    <font>
      <b val="true"/>
      <sz val="11"/>
      <color rgb="FF2C2C2C"/>
      <name val="Calibri"/>
      <family val="0"/>
      <charset val="1"/>
    </font>
    <font>
      <sz val="10"/>
      <color rgb="FF6A6A6A"/>
      <name val="Calibri"/>
      <family val="0"/>
      <charset val="1"/>
    </font>
    <font>
      <b val="true"/>
      <sz val="12"/>
      <color rgb="FF8A6B4A"/>
      <name val="Calibri"/>
      <family val="0"/>
      <charset val="1"/>
    </font>
    <font>
      <i val="true"/>
      <sz val="10"/>
      <color rgb="FF8A6B4A"/>
      <name val="Calibri"/>
      <family val="0"/>
      <charset val="1"/>
    </font>
    <font>
      <b val="true"/>
      <sz val="16"/>
      <color rgb="FF2C2C2C"/>
      <name val="Calibri"/>
      <family val="0"/>
      <charset val="1"/>
    </font>
    <font>
      <i val="true"/>
      <sz val="10"/>
      <color rgb="FF6A6A6A"/>
      <name val="Calibri"/>
      <family val="0"/>
      <charset val="1"/>
    </font>
    <font>
      <b val="true"/>
      <sz val="11"/>
      <color rgb="FFFFFFFF"/>
      <name val="Calibri"/>
      <family val="0"/>
      <charset val="1"/>
    </font>
    <font>
      <b val="true"/>
      <sz val="10"/>
      <color rgb="FF8A6B4A"/>
      <name val="Calibri"/>
      <family val="0"/>
      <charset val="1"/>
    </font>
    <font>
      <i val="true"/>
      <sz val="9"/>
      <color rgb="FF8A6B4A"/>
      <name val="Calibri"/>
      <family val="0"/>
      <charset val="1"/>
    </font>
    <font>
      <sz val="9"/>
      <color rgb="FF8A6B4A"/>
      <name val="Calibri"/>
      <family val="0"/>
      <charset val="1"/>
    </font>
    <font>
      <sz val="10"/>
      <color rgb="FF1A1A1A"/>
      <name val="Calibri"/>
      <family val="0"/>
      <charset val="1"/>
    </font>
    <font>
      <sz val="9"/>
      <color rgb="FFD0D0D0"/>
      <name val="Calibri"/>
      <family val="0"/>
      <charset val="1"/>
    </font>
    <font>
      <b val="true"/>
      <sz val="9"/>
      <color rgb="FF8A6B4A"/>
      <name val="Calibri"/>
      <family val="0"/>
      <charset val="1"/>
    </font>
    <font>
      <b val="true"/>
      <sz val="10"/>
      <color rgb="FF2C2C2C"/>
      <name val="Calibri"/>
      <family val="0"/>
      <charset val="1"/>
    </font>
  </fonts>
  <fills count="4">
    <fill>
      <patternFill patternType="none"/>
    </fill>
    <fill>
      <patternFill patternType="gray125"/>
    </fill>
    <fill>
      <patternFill patternType="solid">
        <fgColor rgb="FF2C2C2C"/>
        <bgColor rgb="FF1A1A1A"/>
      </patternFill>
    </fill>
    <fill>
      <patternFill patternType="solid">
        <fgColor rgb="FFFFF4E6"/>
        <bgColor rgb="FFFFFFFF"/>
      </patternFill>
    </fill>
  </fills>
  <borders count="2">
    <border diagonalUp="false" diagonalDown="false">
      <left/>
      <right/>
      <top/>
      <bottom/>
      <diagonal/>
    </border>
    <border diagonalUp="false" diagonalDown="false">
      <left style="thin">
        <color rgb="FFD0D0D0"/>
      </left>
      <right style="thin">
        <color rgb="FFD0D0D0"/>
      </right>
      <top style="thin">
        <color rgb="FFD0D0D0"/>
      </top>
      <bottom style="thin">
        <color rgb="FFD0D0D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left"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true" applyAlignment="true" applyProtection="false">
      <alignment horizontal="left" vertical="top" textRotation="0" wrapText="true" indent="0" shrinkToFit="false"/>
      <protection locked="true" hidden="false"/>
    </xf>
    <xf numFmtId="164" fontId="12" fillId="0" borderId="0" xfId="0" applyFont="true" applyBorder="true" applyAlignment="false" applyProtection="false">
      <alignment horizontal="general" vertical="bottom" textRotation="0" wrapText="false" indent="0" shrinkToFit="false"/>
      <protection locked="true" hidden="false"/>
    </xf>
    <xf numFmtId="164" fontId="13" fillId="0" borderId="0" xfId="0" applyFont="true" applyBorder="true" applyAlignment="false" applyProtection="false">
      <alignment horizontal="general" vertical="bottom" textRotation="0" wrapText="false" indent="0" shrinkToFit="false"/>
      <protection locked="true" hidden="false"/>
    </xf>
    <xf numFmtId="164" fontId="14" fillId="2" borderId="1" xfId="0" applyFont="true" applyBorder="true" applyAlignment="true" applyProtection="false">
      <alignment horizontal="center" vertical="center" textRotation="0" wrapText="tru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16" fillId="0" borderId="0" xfId="0" applyFont="true" applyBorder="false" applyAlignment="true" applyProtection="false">
      <alignment horizontal="left" vertical="top" textRotation="0" wrapText="true" indent="0" shrinkToFit="false"/>
      <protection locked="true" hidden="false"/>
    </xf>
    <xf numFmtId="164" fontId="17" fillId="0" borderId="0" xfId="0" applyFont="true" applyBorder="false" applyAlignment="false" applyProtection="false">
      <alignment horizontal="general" vertical="bottom" textRotation="0" wrapText="false" indent="0" shrinkToFit="false"/>
      <protection locked="true" hidden="false"/>
    </xf>
    <xf numFmtId="164" fontId="18" fillId="0" borderId="1" xfId="0" applyFont="true" applyBorder="true" applyAlignment="true" applyProtection="false">
      <alignment horizontal="left" vertical="top" textRotation="0" wrapText="true" indent="0" shrinkToFit="false"/>
      <protection locked="true" hidden="false"/>
    </xf>
    <xf numFmtId="164" fontId="19" fillId="0" borderId="0" xfId="0" applyFont="true" applyBorder="false" applyAlignment="false" applyProtection="false">
      <alignment horizontal="general" vertical="bottom"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5" fontId="21" fillId="0" borderId="0" xfId="0" applyFont="true" applyBorder="false" applyAlignment="false" applyProtection="false">
      <alignment horizontal="general" vertical="bottom" textRotation="0" wrapText="false" indent="0" shrinkToFit="false"/>
      <protection locked="true" hidden="false"/>
    </xf>
    <xf numFmtId="166" fontId="21"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A6B4A"/>
      <rgbColor rgb="FF9999FF"/>
      <rgbColor rgb="FF993366"/>
      <rgbColor rgb="FFFFF4E6"/>
      <rgbColor rgb="FFCCFFFF"/>
      <rgbColor rgb="FF660066"/>
      <rgbColor rgb="FFFF8080"/>
      <rgbColor rgb="FF0066CC"/>
      <rgbColor rgb="FFD0D0D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A6A6A"/>
      <rgbColor rgb="FF969696"/>
      <rgbColor rgb="FF003366"/>
      <rgbColor rgb="FF339966"/>
      <rgbColor rgb="FF003300"/>
      <rgbColor rgb="FF1A1A1A"/>
      <rgbColor rgb="FF993300"/>
      <rgbColor rgb="FF993366"/>
      <rgbColor rgb="FF333399"/>
      <rgbColor rgb="FF2C2C2C"/>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80"/>
  </cols>
  <sheetData>
    <row r="1" customFormat="false" ht="24.45" hidden="false" customHeight="false" outlineLevel="0" collapsed="false">
      <c r="A1" s="1" t="s">
        <v>0</v>
      </c>
    </row>
    <row r="3" customFormat="false" ht="15" hidden="false" customHeight="false" outlineLevel="0" collapsed="false">
      <c r="A3" s="2" t="s">
        <v>1</v>
      </c>
    </row>
    <row r="5" customFormat="false" ht="17.35" hidden="false" customHeight="false" outlineLevel="0" collapsed="false">
      <c r="A5" s="3" t="s">
        <v>2</v>
      </c>
    </row>
    <row r="6" customFormat="false" ht="15" hidden="false" customHeight="false" outlineLevel="0" collapsed="false">
      <c r="A6" s="4"/>
    </row>
    <row r="7" customFormat="false" ht="28.35" hidden="false" customHeight="false" outlineLevel="0" collapsed="false">
      <c r="A7" s="4" t="s">
        <v>3</v>
      </c>
    </row>
    <row r="8" customFormat="false" ht="55.2" hidden="false" customHeight="false" outlineLevel="0" collapsed="false">
      <c r="A8" s="4" t="s">
        <v>4</v>
      </c>
    </row>
    <row r="9" customFormat="false" ht="55.2" hidden="false" customHeight="false" outlineLevel="0" collapsed="false">
      <c r="A9" s="4" t="s">
        <v>5</v>
      </c>
    </row>
    <row r="10" customFormat="false" ht="55.2" hidden="false" customHeight="false" outlineLevel="0" collapsed="false">
      <c r="A10" s="4" t="s">
        <v>6</v>
      </c>
    </row>
    <row r="11" customFormat="false" ht="15" hidden="false" customHeight="false" outlineLevel="0" collapsed="false">
      <c r="A11" s="4" t="s">
        <v>7</v>
      </c>
    </row>
    <row r="12" customFormat="false" ht="41.75" hidden="false" customHeight="false" outlineLevel="0" collapsed="false">
      <c r="A12" s="4" t="s">
        <v>8</v>
      </c>
    </row>
    <row r="13" customFormat="false" ht="41.75" hidden="false" customHeight="false" outlineLevel="0" collapsed="false">
      <c r="A13" s="4" t="s">
        <v>9</v>
      </c>
    </row>
    <row r="14" customFormat="false" ht="15" hidden="false" customHeight="false" outlineLevel="0" collapsed="false">
      <c r="A14" s="4"/>
    </row>
    <row r="15" customFormat="false" ht="15" hidden="false" customHeight="false" outlineLevel="0" collapsed="false">
      <c r="A15" s="4" t="s">
        <v>10</v>
      </c>
    </row>
    <row r="16" customFormat="false" ht="28.35" hidden="false" customHeight="false" outlineLevel="0" collapsed="false">
      <c r="A16" s="4" t="s">
        <v>11</v>
      </c>
    </row>
    <row r="17" customFormat="false" ht="41.75" hidden="false" customHeight="false" outlineLevel="0" collapsed="false">
      <c r="A17" s="4" t="s">
        <v>12</v>
      </c>
    </row>
    <row r="18" customFormat="false" ht="41.75" hidden="false" customHeight="false" outlineLevel="0" collapsed="false">
      <c r="A18" s="4" t="s">
        <v>13</v>
      </c>
    </row>
    <row r="19" customFormat="false" ht="15" hidden="false" customHeight="false" outlineLevel="0" collapsed="false">
      <c r="A19" s="4" t="s">
        <v>14</v>
      </c>
    </row>
    <row r="20" customFormat="false" ht="55.2" hidden="false" customHeight="false" outlineLevel="0" collapsed="false">
      <c r="A20" s="4" t="s">
        <v>15</v>
      </c>
    </row>
    <row r="21" customFormat="false" ht="15" hidden="false" customHeight="false" outlineLevel="0" collapsed="false">
      <c r="A21" s="4"/>
    </row>
    <row r="22" customFormat="false" ht="28.35" hidden="false" customHeight="false" outlineLevel="0" collapsed="false">
      <c r="A22" s="4" t="s">
        <v>16</v>
      </c>
    </row>
    <row r="26" customFormat="false" ht="15" hidden="false" customHeight="false" outlineLevel="0" collapsed="false">
      <c r="A26" s="5" t="s">
        <v>17</v>
      </c>
      <c r="B26" s="6" t="s">
        <v>18</v>
      </c>
    </row>
    <row r="27" customFormat="false" ht="15" hidden="false" customHeight="false" outlineLevel="0" collapsed="false">
      <c r="A27" s="5" t="s">
        <v>19</v>
      </c>
      <c r="B27" s="6" t="s">
        <v>20</v>
      </c>
    </row>
    <row r="28" customFormat="false" ht="15" hidden="false" customHeight="false" outlineLevel="0" collapsed="false">
      <c r="A28" s="5" t="s">
        <v>21</v>
      </c>
      <c r="B28" s="6" t="s">
        <v>22</v>
      </c>
    </row>
    <row r="29" customFormat="false" ht="15" hidden="false" customHeight="false" outlineLevel="0" collapsed="false">
      <c r="A29" s="5" t="s">
        <v>23</v>
      </c>
      <c r="B29" s="6" t="s">
        <v>24</v>
      </c>
    </row>
    <row r="30" customFormat="false" ht="15" hidden="false" customHeight="false" outlineLevel="0" collapsed="false">
      <c r="A30" s="5" t="s">
        <v>25</v>
      </c>
      <c r="B30" s="6" t="s">
        <v>26</v>
      </c>
    </row>
    <row r="31" customFormat="false" ht="15" hidden="false" customHeight="false" outlineLevel="0" collapsed="false">
      <c r="A31" s="5" t="s">
        <v>27</v>
      </c>
      <c r="B31" s="6" t="s">
        <v>28</v>
      </c>
    </row>
    <row r="35" customFormat="false" ht="15" hidden="false" customHeight="false" outlineLevel="0" collapsed="false">
      <c r="A35" s="7" t="s">
        <v>29</v>
      </c>
    </row>
    <row r="36" customFormat="false" ht="15" hidden="false" customHeight="true" outlineLevel="0" collapsed="false">
      <c r="A36" s="8" t="s">
        <v>30</v>
      </c>
      <c r="B36" s="8"/>
      <c r="C36" s="8"/>
      <c r="D36" s="8"/>
      <c r="E36" s="8"/>
      <c r="F36" s="8"/>
    </row>
    <row r="37" customFormat="false" ht="15" hidden="false" customHeight="false" outlineLevel="0" collapsed="false">
      <c r="A37" s="8"/>
      <c r="B37" s="8"/>
      <c r="C37" s="8"/>
      <c r="D37" s="8"/>
      <c r="E37" s="8"/>
      <c r="F37" s="8"/>
    </row>
    <row r="38" customFormat="false" ht="15" hidden="false" customHeight="false" outlineLevel="0" collapsed="false">
      <c r="A38" s="8"/>
      <c r="B38" s="8"/>
      <c r="C38" s="8"/>
      <c r="D38" s="8"/>
      <c r="E38" s="8"/>
      <c r="F38" s="8"/>
    </row>
    <row r="39" customFormat="false" ht="15" hidden="false" customHeight="false" outlineLevel="0" collapsed="false">
      <c r="A39" s="8"/>
      <c r="B39" s="8"/>
      <c r="C39" s="8"/>
      <c r="D39" s="8"/>
      <c r="E39" s="8"/>
      <c r="F39" s="8"/>
    </row>
  </sheetData>
  <mergeCells count="1">
    <mergeCell ref="A36:F3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3" min="2" style="0" width="18"/>
    <col collapsed="false" customWidth="true" hidden="false" outlineLevel="0" max="5" min="4" style="0" width="22"/>
    <col collapsed="false" customWidth="true" hidden="false" outlineLevel="0" max="6" min="6" style="0" width="28"/>
    <col collapsed="false" customWidth="true" hidden="false" outlineLevel="0" max="7" min="7" style="0" width="12"/>
    <col collapsed="false" customWidth="true" hidden="false" outlineLevel="0" max="8" min="8" style="0" width="28"/>
    <col collapsed="false" customWidth="true" hidden="false" outlineLevel="0" max="9" min="9" style="0" width="18"/>
    <col collapsed="false" customWidth="true" hidden="false" outlineLevel="0" max="10" min="10" style="0" width="32"/>
    <col collapsed="false" customWidth="true" hidden="false" outlineLevel="0" max="11" min="11" style="0" width="16"/>
    <col collapsed="false" customWidth="true" hidden="false" outlineLevel="0" max="13" min="13" style="0" width="32"/>
  </cols>
  <sheetData>
    <row r="1" customFormat="false" ht="27.75" hidden="false" customHeight="true" outlineLevel="0" collapsed="false">
      <c r="A1" s="9" t="s">
        <v>31</v>
      </c>
      <c r="B1" s="9"/>
      <c r="C1" s="9"/>
      <c r="D1" s="9"/>
      <c r="E1" s="9"/>
      <c r="F1" s="9"/>
      <c r="G1" s="9"/>
      <c r="H1" s="9"/>
      <c r="I1" s="9"/>
      <c r="J1" s="9"/>
    </row>
    <row r="2" customFormat="false" ht="18" hidden="false" customHeight="true" outlineLevel="0" collapsed="false">
      <c r="A2" s="10" t="s">
        <v>32</v>
      </c>
      <c r="B2" s="10"/>
      <c r="C2" s="10"/>
      <c r="D2" s="10"/>
      <c r="E2" s="10"/>
      <c r="F2" s="10"/>
      <c r="G2" s="10"/>
      <c r="H2" s="10"/>
      <c r="I2" s="10"/>
      <c r="J2" s="10"/>
    </row>
    <row r="3" customFormat="false" ht="6" hidden="false" customHeight="true" outlineLevel="0" collapsed="false"/>
    <row r="4" customFormat="false" ht="31.5" hidden="false" customHeight="true" outlineLevel="0" collapsed="false">
      <c r="A4" s="11" t="s">
        <v>33</v>
      </c>
      <c r="B4" s="11" t="s">
        <v>34</v>
      </c>
      <c r="C4" s="11" t="s">
        <v>35</v>
      </c>
      <c r="D4" s="11" t="s">
        <v>36</v>
      </c>
      <c r="E4" s="11" t="s">
        <v>37</v>
      </c>
      <c r="F4" s="11" t="s">
        <v>38</v>
      </c>
      <c r="G4" s="11" t="s">
        <v>39</v>
      </c>
      <c r="H4" s="11" t="s">
        <v>40</v>
      </c>
      <c r="I4" s="11" t="s">
        <v>41</v>
      </c>
      <c r="J4" s="11" t="s">
        <v>42</v>
      </c>
      <c r="M4" s="12" t="s">
        <v>43</v>
      </c>
    </row>
    <row r="5" customFormat="false" ht="31.5" hidden="false" customHeight="true" outlineLevel="0" collapsed="false">
      <c r="A5" s="13" t="s">
        <v>44</v>
      </c>
      <c r="B5" s="13" t="s">
        <v>45</v>
      </c>
      <c r="C5" s="13" t="s">
        <v>46</v>
      </c>
      <c r="D5" s="13" t="s">
        <v>47</v>
      </c>
      <c r="E5" s="13" t="s">
        <v>48</v>
      </c>
      <c r="F5" s="13" t="s">
        <v>49</v>
      </c>
      <c r="G5" s="13" t="s">
        <v>50</v>
      </c>
      <c r="H5" s="13" t="s">
        <v>51</v>
      </c>
      <c r="I5" s="13" t="s">
        <v>52</v>
      </c>
      <c r="J5" s="13" t="s">
        <v>53</v>
      </c>
      <c r="K5" s="14" t="s">
        <v>54</v>
      </c>
      <c r="M5" s="15" t="s">
        <v>55</v>
      </c>
    </row>
    <row r="6" customFormat="false" ht="31.5" hidden="false" customHeight="true" outlineLevel="0" collapsed="false">
      <c r="A6" s="13" t="s">
        <v>56</v>
      </c>
      <c r="B6" s="13" t="s">
        <v>57</v>
      </c>
      <c r="C6" s="13" t="s">
        <v>58</v>
      </c>
      <c r="D6" s="13" t="s">
        <v>59</v>
      </c>
      <c r="E6" s="13" t="s">
        <v>60</v>
      </c>
      <c r="F6" s="13" t="s">
        <v>61</v>
      </c>
      <c r="G6" s="13" t="s">
        <v>50</v>
      </c>
      <c r="H6" s="13" t="s">
        <v>62</v>
      </c>
      <c r="I6" s="13" t="s">
        <v>63</v>
      </c>
      <c r="J6" s="13" t="s">
        <v>64</v>
      </c>
      <c r="K6" s="14" t="s">
        <v>54</v>
      </c>
      <c r="M6" s="15" t="s">
        <v>65</v>
      </c>
    </row>
    <row r="7" customFormat="false" ht="27.75" hidden="false" customHeight="true" outlineLevel="0" collapsed="false">
      <c r="A7" s="16"/>
      <c r="B7" s="16"/>
      <c r="C7" s="16"/>
      <c r="D7" s="16"/>
      <c r="E7" s="16"/>
      <c r="F7" s="16"/>
      <c r="G7" s="16"/>
      <c r="H7" s="16"/>
      <c r="I7" s="16"/>
      <c r="J7" s="16"/>
      <c r="M7" s="15" t="s">
        <v>66</v>
      </c>
    </row>
    <row r="8" customFormat="false" ht="27.75" hidden="false" customHeight="true" outlineLevel="0" collapsed="false">
      <c r="A8" s="16"/>
      <c r="B8" s="16"/>
      <c r="C8" s="16"/>
      <c r="D8" s="16"/>
      <c r="E8" s="16"/>
      <c r="F8" s="16"/>
      <c r="G8" s="16"/>
      <c r="H8" s="16"/>
      <c r="I8" s="16"/>
      <c r="J8" s="16"/>
      <c r="M8" s="15" t="s">
        <v>67</v>
      </c>
    </row>
    <row r="9" customFormat="false" ht="27.75" hidden="false" customHeight="true" outlineLevel="0" collapsed="false">
      <c r="A9" s="16"/>
      <c r="B9" s="16"/>
      <c r="C9" s="16"/>
      <c r="D9" s="16"/>
      <c r="E9" s="16"/>
      <c r="F9" s="16"/>
      <c r="G9" s="16"/>
      <c r="H9" s="16"/>
      <c r="I9" s="16"/>
      <c r="J9" s="16"/>
      <c r="M9" s="15" t="s">
        <v>68</v>
      </c>
    </row>
    <row r="10" customFormat="false" ht="27.75" hidden="false" customHeight="true" outlineLevel="0" collapsed="false">
      <c r="A10" s="16"/>
      <c r="B10" s="16"/>
      <c r="C10" s="16"/>
      <c r="D10" s="16"/>
      <c r="E10" s="16"/>
      <c r="F10" s="16"/>
      <c r="G10" s="16"/>
      <c r="H10" s="16"/>
      <c r="I10" s="16"/>
      <c r="J10" s="16"/>
      <c r="M10" s="15" t="s">
        <v>69</v>
      </c>
    </row>
    <row r="11" customFormat="false" ht="27.75" hidden="false" customHeight="true" outlineLevel="0" collapsed="false">
      <c r="A11" s="16"/>
      <c r="B11" s="16"/>
      <c r="C11" s="16"/>
      <c r="D11" s="16"/>
      <c r="E11" s="16"/>
      <c r="F11" s="16"/>
      <c r="G11" s="16"/>
      <c r="H11" s="16"/>
      <c r="I11" s="16"/>
      <c r="J11" s="16"/>
      <c r="M11" s="15" t="s">
        <v>70</v>
      </c>
    </row>
    <row r="12" customFormat="false" ht="27.75" hidden="false" customHeight="true" outlineLevel="0" collapsed="false">
      <c r="A12" s="16"/>
      <c r="B12" s="16"/>
      <c r="C12" s="16"/>
      <c r="D12" s="16"/>
      <c r="E12" s="16"/>
      <c r="F12" s="16"/>
      <c r="G12" s="16"/>
      <c r="H12" s="16"/>
      <c r="I12" s="16"/>
      <c r="J12" s="16"/>
      <c r="M12" s="15" t="s">
        <v>71</v>
      </c>
    </row>
    <row r="13" customFormat="false" ht="27.75" hidden="false" customHeight="true" outlineLevel="0" collapsed="false">
      <c r="A13" s="16"/>
      <c r="B13" s="16"/>
      <c r="C13" s="16"/>
      <c r="D13" s="16"/>
      <c r="E13" s="16"/>
      <c r="F13" s="16"/>
      <c r="G13" s="16"/>
      <c r="H13" s="16"/>
      <c r="I13" s="16"/>
      <c r="J13" s="16"/>
      <c r="M13" s="15" t="s">
        <v>72</v>
      </c>
    </row>
    <row r="14" customFormat="false" ht="27.75" hidden="false" customHeight="true" outlineLevel="0" collapsed="false">
      <c r="A14" s="16"/>
      <c r="B14" s="16"/>
      <c r="C14" s="16"/>
      <c r="D14" s="16"/>
      <c r="E14" s="16"/>
      <c r="F14" s="16"/>
      <c r="G14" s="16"/>
      <c r="H14" s="16"/>
      <c r="I14" s="16"/>
      <c r="J14" s="16"/>
      <c r="M14" s="15" t="s">
        <v>73</v>
      </c>
    </row>
    <row r="15" customFormat="false" ht="27.75" hidden="false" customHeight="true" outlineLevel="0" collapsed="false">
      <c r="A15" s="16"/>
      <c r="B15" s="16"/>
      <c r="C15" s="16"/>
      <c r="D15" s="16"/>
      <c r="E15" s="16"/>
      <c r="F15" s="16"/>
      <c r="G15" s="16"/>
      <c r="H15" s="16"/>
      <c r="I15" s="16"/>
      <c r="J15" s="16"/>
      <c r="M15" s="15" t="s">
        <v>74</v>
      </c>
    </row>
    <row r="16" customFormat="false" ht="27.75" hidden="false" customHeight="true" outlineLevel="0" collapsed="false">
      <c r="A16" s="16"/>
      <c r="B16" s="16"/>
      <c r="C16" s="16"/>
      <c r="D16" s="16"/>
      <c r="E16" s="16"/>
      <c r="F16" s="16"/>
      <c r="G16" s="16"/>
      <c r="H16" s="16"/>
      <c r="I16" s="16"/>
      <c r="J16" s="16"/>
      <c r="M16" s="15" t="s">
        <v>75</v>
      </c>
    </row>
    <row r="17" customFormat="false" ht="27.75" hidden="false" customHeight="true" outlineLevel="0" collapsed="false">
      <c r="A17" s="16"/>
      <c r="B17" s="16"/>
      <c r="C17" s="16"/>
      <c r="D17" s="16"/>
      <c r="E17" s="16"/>
      <c r="F17" s="16"/>
      <c r="G17" s="16"/>
      <c r="H17" s="16"/>
      <c r="I17" s="16"/>
      <c r="J17" s="16"/>
      <c r="M17" s="15" t="s">
        <v>76</v>
      </c>
    </row>
    <row r="18" customFormat="false" ht="27.75" hidden="false" customHeight="true" outlineLevel="0" collapsed="false">
      <c r="A18" s="16"/>
      <c r="B18" s="16"/>
      <c r="C18" s="16"/>
      <c r="D18" s="16"/>
      <c r="E18" s="16"/>
      <c r="F18" s="16"/>
      <c r="G18" s="16"/>
      <c r="H18" s="16"/>
      <c r="I18" s="16"/>
      <c r="J18" s="16"/>
      <c r="M18" s="15" t="s">
        <v>77</v>
      </c>
    </row>
    <row r="19" customFormat="false" ht="27.75" hidden="false" customHeight="true" outlineLevel="0" collapsed="false">
      <c r="A19" s="16"/>
      <c r="B19" s="16"/>
      <c r="C19" s="16"/>
      <c r="D19" s="16"/>
      <c r="E19" s="16"/>
      <c r="F19" s="16"/>
      <c r="G19" s="16"/>
      <c r="H19" s="16"/>
      <c r="I19" s="16"/>
      <c r="J19" s="16"/>
      <c r="M19" s="15" t="s">
        <v>78</v>
      </c>
    </row>
    <row r="20" customFormat="false" ht="27.75" hidden="false" customHeight="true" outlineLevel="0" collapsed="false">
      <c r="A20" s="16"/>
      <c r="B20" s="16"/>
      <c r="C20" s="16"/>
      <c r="D20" s="16"/>
      <c r="E20" s="16"/>
      <c r="F20" s="16"/>
      <c r="G20" s="16"/>
      <c r="H20" s="16"/>
      <c r="I20" s="16"/>
      <c r="J20" s="16"/>
      <c r="M20" s="15" t="s">
        <v>79</v>
      </c>
    </row>
    <row r="21" customFormat="false" ht="27.75" hidden="false" customHeight="true" outlineLevel="0" collapsed="false">
      <c r="A21" s="16"/>
      <c r="B21" s="16"/>
      <c r="C21" s="16"/>
      <c r="D21" s="16"/>
      <c r="E21" s="16"/>
      <c r="F21" s="16"/>
      <c r="G21" s="16"/>
      <c r="H21" s="16"/>
      <c r="I21" s="16"/>
      <c r="J21" s="16"/>
      <c r="M21" s="15" t="s">
        <v>80</v>
      </c>
    </row>
    <row r="22" customFormat="false" ht="27.75" hidden="false" customHeight="true" outlineLevel="0" collapsed="false">
      <c r="A22" s="16"/>
      <c r="B22" s="16"/>
      <c r="C22" s="16"/>
      <c r="D22" s="16"/>
      <c r="E22" s="16"/>
      <c r="F22" s="16"/>
      <c r="G22" s="16"/>
      <c r="H22" s="16"/>
      <c r="I22" s="16"/>
      <c r="J22" s="16"/>
      <c r="M22" s="15" t="s">
        <v>81</v>
      </c>
    </row>
    <row r="23" customFormat="false" ht="27.75" hidden="false" customHeight="true" outlineLevel="0" collapsed="false">
      <c r="A23" s="16"/>
      <c r="B23" s="16"/>
      <c r="C23" s="16"/>
      <c r="D23" s="16"/>
      <c r="E23" s="16"/>
      <c r="F23" s="16"/>
      <c r="G23" s="16"/>
      <c r="H23" s="16"/>
      <c r="I23" s="16"/>
      <c r="J23" s="16"/>
      <c r="M23" s="15" t="s">
        <v>82</v>
      </c>
    </row>
    <row r="24" customFormat="false" ht="27.75" hidden="false" customHeight="true" outlineLevel="0" collapsed="false">
      <c r="A24" s="16"/>
      <c r="B24" s="16"/>
      <c r="C24" s="16"/>
      <c r="D24" s="16"/>
      <c r="E24" s="16"/>
      <c r="F24" s="16"/>
      <c r="G24" s="16"/>
      <c r="H24" s="16"/>
      <c r="I24" s="16"/>
      <c r="J24" s="16"/>
      <c r="M24" s="15" t="s">
        <v>83</v>
      </c>
    </row>
    <row r="25" customFormat="false" ht="27.75" hidden="false" customHeight="true" outlineLevel="0" collapsed="false">
      <c r="A25" s="16"/>
      <c r="B25" s="16"/>
      <c r="C25" s="16"/>
      <c r="D25" s="16"/>
      <c r="E25" s="16"/>
      <c r="F25" s="16"/>
      <c r="G25" s="16"/>
      <c r="H25" s="16"/>
      <c r="I25" s="16"/>
      <c r="J25" s="16"/>
      <c r="M25" s="15" t="s">
        <v>84</v>
      </c>
    </row>
    <row r="26" customFormat="false" ht="27.75" hidden="false" customHeight="true" outlineLevel="0" collapsed="false">
      <c r="A26" s="16"/>
      <c r="B26" s="16"/>
      <c r="C26" s="16"/>
      <c r="D26" s="16"/>
      <c r="E26" s="16"/>
      <c r="F26" s="16"/>
      <c r="G26" s="16"/>
      <c r="H26" s="16"/>
      <c r="I26" s="16"/>
      <c r="J26" s="16"/>
      <c r="M26" s="15" t="s">
        <v>85</v>
      </c>
    </row>
    <row r="27" customFormat="false" ht="27.75" hidden="false" customHeight="true" outlineLevel="0" collapsed="false">
      <c r="A27" s="16"/>
      <c r="B27" s="16"/>
      <c r="C27" s="16"/>
      <c r="D27" s="16"/>
      <c r="E27" s="16"/>
      <c r="F27" s="16"/>
      <c r="G27" s="16"/>
      <c r="H27" s="16"/>
      <c r="I27" s="16"/>
      <c r="J27" s="16"/>
      <c r="M27" s="15" t="s">
        <v>86</v>
      </c>
    </row>
    <row r="28" customFormat="false" ht="27.75" hidden="false" customHeight="true" outlineLevel="0" collapsed="false">
      <c r="A28" s="16"/>
      <c r="B28" s="16"/>
      <c r="C28" s="16"/>
      <c r="D28" s="16"/>
      <c r="E28" s="16"/>
      <c r="F28" s="16"/>
      <c r="G28" s="16"/>
      <c r="H28" s="16"/>
      <c r="I28" s="16"/>
      <c r="J28" s="16"/>
      <c r="M28" s="15" t="s">
        <v>87</v>
      </c>
    </row>
    <row r="29" customFormat="false" ht="27.75" hidden="false" customHeight="true" outlineLevel="0" collapsed="false">
      <c r="A29" s="16"/>
      <c r="B29" s="16"/>
      <c r="C29" s="16"/>
      <c r="D29" s="16"/>
      <c r="E29" s="16"/>
      <c r="F29" s="16"/>
      <c r="G29" s="16"/>
      <c r="H29" s="16"/>
      <c r="I29" s="16"/>
      <c r="J29" s="16"/>
      <c r="M29" s="15" t="s">
        <v>88</v>
      </c>
    </row>
    <row r="30" customFormat="false" ht="27.75" hidden="false" customHeight="true" outlineLevel="0" collapsed="false">
      <c r="A30" s="16"/>
      <c r="B30" s="16"/>
      <c r="C30" s="16"/>
      <c r="D30" s="16"/>
      <c r="E30" s="16"/>
      <c r="F30" s="16"/>
      <c r="G30" s="16"/>
      <c r="H30" s="16"/>
      <c r="I30" s="16"/>
      <c r="J30" s="16"/>
      <c r="M30" s="15" t="s">
        <v>89</v>
      </c>
    </row>
    <row r="31" customFormat="false" ht="27.75" hidden="false" customHeight="true" outlineLevel="0" collapsed="false">
      <c r="A31" s="16"/>
      <c r="B31" s="16"/>
      <c r="C31" s="16"/>
      <c r="D31" s="16"/>
      <c r="E31" s="16"/>
      <c r="F31" s="16"/>
      <c r="G31" s="16"/>
      <c r="H31" s="16"/>
      <c r="I31" s="16"/>
      <c r="J31" s="16"/>
      <c r="M31" s="15" t="s">
        <v>90</v>
      </c>
    </row>
    <row r="32" customFormat="false" ht="27.75" hidden="false" customHeight="true" outlineLevel="0" collapsed="false">
      <c r="A32" s="16"/>
      <c r="B32" s="16"/>
      <c r="C32" s="16"/>
      <c r="D32" s="16"/>
      <c r="E32" s="16"/>
      <c r="F32" s="16"/>
      <c r="G32" s="16"/>
      <c r="H32" s="16"/>
      <c r="I32" s="16"/>
      <c r="J32" s="16"/>
      <c r="M32" s="15" t="s">
        <v>91</v>
      </c>
    </row>
    <row r="33" customFormat="false" ht="27.75" hidden="false" customHeight="true" outlineLevel="0" collapsed="false">
      <c r="A33" s="16"/>
      <c r="B33" s="16"/>
      <c r="C33" s="16"/>
      <c r="D33" s="16"/>
      <c r="E33" s="16"/>
      <c r="F33" s="16"/>
      <c r="G33" s="16"/>
      <c r="H33" s="16"/>
      <c r="I33" s="16"/>
      <c r="J33" s="16"/>
      <c r="M33" s="15" t="s">
        <v>92</v>
      </c>
    </row>
    <row r="34" customFormat="false" ht="27.75" hidden="false" customHeight="true" outlineLevel="0" collapsed="false">
      <c r="A34" s="16"/>
      <c r="B34" s="16"/>
      <c r="C34" s="16"/>
      <c r="D34" s="16"/>
      <c r="E34" s="16"/>
      <c r="F34" s="16"/>
      <c r="G34" s="16"/>
      <c r="H34" s="16"/>
      <c r="I34" s="16"/>
      <c r="J34" s="16"/>
    </row>
    <row r="35" customFormat="false" ht="27.75" hidden="false" customHeight="true" outlineLevel="0" collapsed="false">
      <c r="A35" s="16"/>
      <c r="B35" s="16"/>
      <c r="C35" s="16"/>
      <c r="D35" s="16"/>
      <c r="E35" s="16"/>
      <c r="F35" s="16"/>
      <c r="G35" s="16"/>
      <c r="H35" s="16"/>
      <c r="I35" s="16"/>
      <c r="J35" s="16"/>
    </row>
    <row r="36" customFormat="false" ht="27.75" hidden="false" customHeight="true" outlineLevel="0" collapsed="false">
      <c r="A36" s="16"/>
      <c r="B36" s="16"/>
      <c r="C36" s="16"/>
      <c r="D36" s="16"/>
      <c r="E36" s="16"/>
      <c r="F36" s="16"/>
      <c r="G36" s="16"/>
      <c r="H36" s="16"/>
      <c r="I36" s="16"/>
      <c r="J36" s="16"/>
    </row>
  </sheetData>
  <mergeCells count="2">
    <mergeCell ref="A1:J1"/>
    <mergeCell ref="A2:J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8"/>
    <col collapsed="false" customWidth="true" hidden="false" outlineLevel="0" max="3" min="3" style="0" width="28"/>
    <col collapsed="false" customWidth="true" hidden="false" outlineLevel="0" max="4" min="4" style="0" width="24"/>
    <col collapsed="false" customWidth="true" hidden="false" outlineLevel="0" max="5" min="5" style="0" width="50"/>
    <col collapsed="false" customWidth="true" hidden="false" outlineLevel="0" max="6" min="6" style="0" width="14"/>
    <col collapsed="false" customWidth="true" hidden="false" outlineLevel="0" max="7" min="7" style="0" width="38"/>
    <col collapsed="false" customWidth="true" hidden="false" outlineLevel="0" max="8" min="8" style="0" width="16"/>
    <col collapsed="false" customWidth="true" hidden="false" outlineLevel="0" max="10" min="10" style="0" width="42"/>
  </cols>
  <sheetData>
    <row r="1" customFormat="false" ht="27.75" hidden="false" customHeight="true" outlineLevel="0" collapsed="false">
      <c r="A1" s="9" t="s">
        <v>93</v>
      </c>
      <c r="B1" s="9"/>
      <c r="C1" s="9"/>
      <c r="D1" s="9"/>
      <c r="E1" s="9"/>
      <c r="F1" s="9"/>
      <c r="G1" s="9"/>
    </row>
    <row r="2" customFormat="false" ht="18" hidden="false" customHeight="true" outlineLevel="0" collapsed="false">
      <c r="A2" s="10" t="s">
        <v>94</v>
      </c>
      <c r="B2" s="10"/>
      <c r="C2" s="10"/>
      <c r="D2" s="10"/>
      <c r="E2" s="10"/>
      <c r="F2" s="10"/>
      <c r="G2" s="10"/>
    </row>
    <row r="3" customFormat="false" ht="6" hidden="false" customHeight="true" outlineLevel="0" collapsed="false"/>
    <row r="4" customFormat="false" ht="31.5" hidden="false" customHeight="true" outlineLevel="0" collapsed="false">
      <c r="A4" s="11" t="s">
        <v>95</v>
      </c>
      <c r="B4" s="11" t="s">
        <v>96</v>
      </c>
      <c r="C4" s="11" t="s">
        <v>97</v>
      </c>
      <c r="D4" s="11" t="s">
        <v>98</v>
      </c>
      <c r="E4" s="11" t="s">
        <v>99</v>
      </c>
      <c r="F4" s="11" t="s">
        <v>100</v>
      </c>
      <c r="G4" s="11" t="s">
        <v>101</v>
      </c>
      <c r="J4" s="12" t="s">
        <v>102</v>
      </c>
    </row>
    <row r="5" customFormat="false" ht="31.5" hidden="false" customHeight="true" outlineLevel="0" collapsed="false">
      <c r="A5" s="13" t="s">
        <v>103</v>
      </c>
      <c r="B5" s="13" t="s">
        <v>104</v>
      </c>
      <c r="C5" s="13" t="s">
        <v>105</v>
      </c>
      <c r="D5" s="13" t="s">
        <v>106</v>
      </c>
      <c r="E5" s="13" t="s">
        <v>107</v>
      </c>
      <c r="F5" s="13" t="s">
        <v>108</v>
      </c>
      <c r="G5" s="13" t="s">
        <v>109</v>
      </c>
      <c r="H5" s="14" t="s">
        <v>54</v>
      </c>
      <c r="J5" s="15" t="s">
        <v>110</v>
      </c>
    </row>
    <row r="6" customFormat="false" ht="31.5" hidden="false" customHeight="true" outlineLevel="0" collapsed="false">
      <c r="A6" s="13" t="s">
        <v>111</v>
      </c>
      <c r="B6" s="13" t="s">
        <v>112</v>
      </c>
      <c r="C6" s="13" t="s">
        <v>113</v>
      </c>
      <c r="D6" s="13" t="s">
        <v>114</v>
      </c>
      <c r="E6" s="13" t="s">
        <v>115</v>
      </c>
      <c r="F6" s="13" t="s">
        <v>108</v>
      </c>
      <c r="G6" s="13" t="s">
        <v>116</v>
      </c>
      <c r="H6" s="14" t="s">
        <v>54</v>
      </c>
      <c r="J6" s="15" t="s">
        <v>117</v>
      </c>
    </row>
    <row r="7" customFormat="false" ht="27.75" hidden="false" customHeight="true" outlineLevel="0" collapsed="false">
      <c r="A7" s="16"/>
      <c r="B7" s="16"/>
      <c r="C7" s="16"/>
      <c r="D7" s="16"/>
      <c r="E7" s="16"/>
      <c r="F7" s="16"/>
      <c r="G7" s="16"/>
      <c r="J7" s="15" t="s">
        <v>118</v>
      </c>
    </row>
    <row r="8" customFormat="false" ht="27.75" hidden="false" customHeight="true" outlineLevel="0" collapsed="false">
      <c r="A8" s="16"/>
      <c r="B8" s="16"/>
      <c r="C8" s="16"/>
      <c r="D8" s="16"/>
      <c r="E8" s="16"/>
      <c r="F8" s="16"/>
      <c r="G8" s="16"/>
      <c r="J8" s="15" t="s">
        <v>119</v>
      </c>
    </row>
    <row r="9" customFormat="false" ht="27.75" hidden="false" customHeight="true" outlineLevel="0" collapsed="false">
      <c r="A9" s="16"/>
      <c r="B9" s="16"/>
      <c r="C9" s="16"/>
      <c r="D9" s="16"/>
      <c r="E9" s="16"/>
      <c r="F9" s="16"/>
      <c r="G9" s="16"/>
      <c r="J9" s="15" t="s">
        <v>120</v>
      </c>
    </row>
    <row r="10" customFormat="false" ht="27.75" hidden="false" customHeight="true" outlineLevel="0" collapsed="false">
      <c r="A10" s="16"/>
      <c r="B10" s="16"/>
      <c r="C10" s="16"/>
      <c r="D10" s="16"/>
      <c r="E10" s="16"/>
      <c r="F10" s="16"/>
      <c r="G10" s="16"/>
      <c r="J10" s="15" t="s">
        <v>121</v>
      </c>
    </row>
    <row r="11" customFormat="false" ht="27.75" hidden="false" customHeight="true" outlineLevel="0" collapsed="false">
      <c r="A11" s="16"/>
      <c r="B11" s="16"/>
      <c r="C11" s="16"/>
      <c r="D11" s="16"/>
      <c r="E11" s="16"/>
      <c r="F11" s="16"/>
      <c r="G11" s="16"/>
      <c r="J11" s="15" t="s">
        <v>122</v>
      </c>
    </row>
    <row r="12" customFormat="false" ht="27.75" hidden="false" customHeight="true" outlineLevel="0" collapsed="false">
      <c r="A12" s="16"/>
      <c r="B12" s="16"/>
      <c r="C12" s="16"/>
      <c r="D12" s="16"/>
      <c r="E12" s="16"/>
      <c r="F12" s="16"/>
      <c r="G12" s="16"/>
      <c r="J12" s="15" t="s">
        <v>123</v>
      </c>
    </row>
    <row r="13" customFormat="false" ht="27.75" hidden="false" customHeight="true" outlineLevel="0" collapsed="false">
      <c r="A13" s="16"/>
      <c r="B13" s="16"/>
      <c r="C13" s="16"/>
      <c r="D13" s="16"/>
      <c r="E13" s="16"/>
      <c r="F13" s="16"/>
      <c r="G13" s="16"/>
      <c r="J13" s="15" t="s">
        <v>124</v>
      </c>
    </row>
    <row r="14" customFormat="false" ht="27.75" hidden="false" customHeight="true" outlineLevel="0" collapsed="false">
      <c r="A14" s="16"/>
      <c r="B14" s="16"/>
      <c r="C14" s="16"/>
      <c r="D14" s="16"/>
      <c r="E14" s="16"/>
      <c r="F14" s="16"/>
      <c r="G14" s="16"/>
      <c r="J14" s="15" t="s">
        <v>125</v>
      </c>
    </row>
    <row r="15" customFormat="false" ht="27.75" hidden="false" customHeight="true" outlineLevel="0" collapsed="false">
      <c r="A15" s="16"/>
      <c r="B15" s="16"/>
      <c r="C15" s="16"/>
      <c r="D15" s="16"/>
      <c r="E15" s="16"/>
      <c r="F15" s="16"/>
      <c r="G15" s="16"/>
      <c r="J15" s="15" t="s">
        <v>126</v>
      </c>
    </row>
    <row r="16" customFormat="false" ht="27.75" hidden="false" customHeight="true" outlineLevel="0" collapsed="false">
      <c r="A16" s="16"/>
      <c r="B16" s="16"/>
      <c r="C16" s="16"/>
      <c r="D16" s="16"/>
      <c r="E16" s="16"/>
      <c r="F16" s="16"/>
      <c r="G16" s="16"/>
      <c r="J16" s="15" t="s">
        <v>127</v>
      </c>
    </row>
    <row r="17" customFormat="false" ht="27.75" hidden="false" customHeight="true" outlineLevel="0" collapsed="false">
      <c r="A17" s="16"/>
      <c r="B17" s="16"/>
      <c r="C17" s="16"/>
      <c r="D17" s="16"/>
      <c r="E17" s="16"/>
      <c r="F17" s="16"/>
      <c r="G17" s="16"/>
      <c r="J17" s="15" t="s">
        <v>128</v>
      </c>
    </row>
    <row r="18" customFormat="false" ht="27.75" hidden="false" customHeight="true" outlineLevel="0" collapsed="false">
      <c r="A18" s="16"/>
      <c r="B18" s="16"/>
      <c r="C18" s="16"/>
      <c r="D18" s="16"/>
      <c r="E18" s="16"/>
      <c r="F18" s="16"/>
      <c r="G18" s="16"/>
      <c r="J18" s="15" t="s">
        <v>129</v>
      </c>
    </row>
    <row r="19" customFormat="false" ht="27.75" hidden="false" customHeight="true" outlineLevel="0" collapsed="false">
      <c r="A19" s="16"/>
      <c r="B19" s="16"/>
      <c r="C19" s="16"/>
      <c r="D19" s="16"/>
      <c r="E19" s="16"/>
      <c r="F19" s="16"/>
      <c r="G19" s="16"/>
      <c r="J19" s="15" t="s">
        <v>130</v>
      </c>
    </row>
    <row r="20" customFormat="false" ht="27.75" hidden="false" customHeight="true" outlineLevel="0" collapsed="false">
      <c r="A20" s="16"/>
      <c r="B20" s="16"/>
      <c r="C20" s="16"/>
      <c r="D20" s="16"/>
      <c r="E20" s="16"/>
      <c r="F20" s="16"/>
      <c r="G20" s="16"/>
      <c r="J20" s="15" t="s">
        <v>131</v>
      </c>
    </row>
    <row r="21" customFormat="false" ht="27.75" hidden="false" customHeight="true" outlineLevel="0" collapsed="false">
      <c r="A21" s="16"/>
      <c r="B21" s="16"/>
      <c r="C21" s="16"/>
      <c r="D21" s="16"/>
      <c r="E21" s="16"/>
      <c r="F21" s="16"/>
      <c r="G21" s="16"/>
      <c r="J21" s="15" t="s">
        <v>132</v>
      </c>
    </row>
    <row r="22" customFormat="false" ht="27.75" hidden="false" customHeight="true" outlineLevel="0" collapsed="false">
      <c r="A22" s="16"/>
      <c r="B22" s="16"/>
      <c r="C22" s="16"/>
      <c r="D22" s="16"/>
      <c r="E22" s="16"/>
      <c r="F22" s="16"/>
      <c r="G22" s="16"/>
      <c r="J22" s="15" t="s">
        <v>133</v>
      </c>
    </row>
    <row r="23" customFormat="false" ht="27.75" hidden="false" customHeight="true" outlineLevel="0" collapsed="false">
      <c r="A23" s="16"/>
      <c r="B23" s="16"/>
      <c r="C23" s="16"/>
      <c r="D23" s="16"/>
      <c r="E23" s="16"/>
      <c r="F23" s="16"/>
      <c r="G23" s="16"/>
    </row>
    <row r="24" customFormat="false" ht="27.75" hidden="false" customHeight="true" outlineLevel="0" collapsed="false">
      <c r="A24" s="16"/>
      <c r="B24" s="16"/>
      <c r="C24" s="16"/>
      <c r="D24" s="16"/>
      <c r="E24" s="16"/>
      <c r="F24" s="16"/>
      <c r="G24" s="16"/>
    </row>
    <row r="25" customFormat="false" ht="27.75" hidden="false" customHeight="true" outlineLevel="0" collapsed="false">
      <c r="A25" s="16"/>
      <c r="B25" s="16"/>
      <c r="C25" s="16"/>
      <c r="D25" s="16"/>
      <c r="E25" s="16"/>
      <c r="F25" s="16"/>
      <c r="G25" s="16"/>
    </row>
    <row r="26" customFormat="false" ht="27.75" hidden="false" customHeight="true" outlineLevel="0" collapsed="false">
      <c r="A26" s="16"/>
      <c r="B26" s="16"/>
      <c r="C26" s="16"/>
      <c r="D26" s="16"/>
      <c r="E26" s="16"/>
      <c r="F26" s="16"/>
      <c r="G26" s="16"/>
    </row>
    <row r="27" customFormat="false" ht="27.75" hidden="false" customHeight="true" outlineLevel="0" collapsed="false">
      <c r="A27" s="16"/>
      <c r="B27" s="16"/>
      <c r="C27" s="16"/>
      <c r="D27" s="16"/>
      <c r="E27" s="16"/>
      <c r="F27" s="16"/>
      <c r="G27" s="16"/>
    </row>
    <row r="28" customFormat="false" ht="27.75" hidden="false" customHeight="true" outlineLevel="0" collapsed="false">
      <c r="A28" s="16"/>
      <c r="B28" s="16"/>
      <c r="C28" s="16"/>
      <c r="D28" s="16"/>
      <c r="E28" s="16"/>
      <c r="F28" s="16"/>
      <c r="G28" s="16"/>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50"/>
    <col collapsed="false" customWidth="true" hidden="false" outlineLevel="0" max="4" min="4" style="0" width="36"/>
    <col collapsed="false" customWidth="true" hidden="false" outlineLevel="0" max="5" min="5" style="0" width="18"/>
    <col collapsed="false" customWidth="true" hidden="false" outlineLevel="0" max="6" min="6" style="0" width="16"/>
    <col collapsed="false" customWidth="true" hidden="false" outlineLevel="0" max="8" min="8" style="0" width="38"/>
  </cols>
  <sheetData>
    <row r="1" customFormat="false" ht="27.75" hidden="false" customHeight="true" outlineLevel="0" collapsed="false">
      <c r="A1" s="9" t="s">
        <v>134</v>
      </c>
      <c r="B1" s="9"/>
      <c r="C1" s="9"/>
      <c r="D1" s="9"/>
      <c r="E1" s="9"/>
    </row>
    <row r="2" customFormat="false" ht="18" hidden="false" customHeight="true" outlineLevel="0" collapsed="false">
      <c r="A2" s="10" t="s">
        <v>135</v>
      </c>
      <c r="B2" s="10"/>
      <c r="C2" s="10"/>
      <c r="D2" s="10"/>
      <c r="E2" s="10"/>
    </row>
    <row r="3" customFormat="false" ht="6" hidden="false" customHeight="true" outlineLevel="0" collapsed="false"/>
    <row r="4" customFormat="false" ht="31.5" hidden="false" customHeight="true" outlineLevel="0" collapsed="false">
      <c r="A4" s="11" t="s">
        <v>136</v>
      </c>
      <c r="B4" s="11" t="s">
        <v>137</v>
      </c>
      <c r="C4" s="11" t="s">
        <v>138</v>
      </c>
      <c r="D4" s="11" t="s">
        <v>139</v>
      </c>
      <c r="E4" s="11" t="s">
        <v>140</v>
      </c>
      <c r="H4" s="12" t="s">
        <v>141</v>
      </c>
    </row>
    <row r="5" customFormat="false" ht="31.5" hidden="false" customHeight="true" outlineLevel="0" collapsed="false">
      <c r="A5" s="13" t="s">
        <v>142</v>
      </c>
      <c r="B5" s="13" t="s">
        <v>143</v>
      </c>
      <c r="C5" s="13" t="s">
        <v>144</v>
      </c>
      <c r="D5" s="13" t="s">
        <v>145</v>
      </c>
      <c r="E5" s="13" t="s">
        <v>146</v>
      </c>
      <c r="F5" s="14" t="s">
        <v>54</v>
      </c>
      <c r="H5" s="15" t="s">
        <v>147</v>
      </c>
    </row>
    <row r="6" customFormat="false" ht="31.5" hidden="false" customHeight="true" outlineLevel="0" collapsed="false">
      <c r="A6" s="13" t="s">
        <v>148</v>
      </c>
      <c r="B6" s="13" t="s">
        <v>149</v>
      </c>
      <c r="C6" s="13" t="s">
        <v>150</v>
      </c>
      <c r="D6" s="13" t="s">
        <v>151</v>
      </c>
      <c r="E6" s="13" t="s">
        <v>152</v>
      </c>
      <c r="F6" s="14" t="s">
        <v>54</v>
      </c>
      <c r="H6" s="15" t="s">
        <v>153</v>
      </c>
    </row>
    <row r="7" customFormat="false" ht="31.5" hidden="false" customHeight="true" outlineLevel="0" collapsed="false">
      <c r="A7" s="13" t="s">
        <v>50</v>
      </c>
      <c r="B7" s="13" t="s">
        <v>39</v>
      </c>
      <c r="C7" s="13" t="s">
        <v>154</v>
      </c>
      <c r="D7" s="13" t="s">
        <v>155</v>
      </c>
      <c r="E7" s="13" t="s">
        <v>156</v>
      </c>
      <c r="F7" s="14" t="s">
        <v>54</v>
      </c>
      <c r="H7" s="15" t="s">
        <v>157</v>
      </c>
    </row>
    <row r="8" customFormat="false" ht="27.75" hidden="false" customHeight="true" outlineLevel="0" collapsed="false">
      <c r="A8" s="16"/>
      <c r="B8" s="16"/>
      <c r="C8" s="16"/>
      <c r="D8" s="16"/>
      <c r="E8" s="16"/>
      <c r="H8" s="15" t="s">
        <v>158</v>
      </c>
    </row>
    <row r="9" customFormat="false" ht="27.75" hidden="false" customHeight="true" outlineLevel="0" collapsed="false">
      <c r="A9" s="16"/>
      <c r="B9" s="16"/>
      <c r="C9" s="16"/>
      <c r="D9" s="16"/>
      <c r="E9" s="16"/>
      <c r="H9" s="15" t="s">
        <v>159</v>
      </c>
    </row>
    <row r="10" customFormat="false" ht="27.75" hidden="false" customHeight="true" outlineLevel="0" collapsed="false">
      <c r="A10" s="16"/>
      <c r="B10" s="16"/>
      <c r="C10" s="16"/>
      <c r="D10" s="16"/>
      <c r="E10" s="16"/>
      <c r="H10" s="15" t="s">
        <v>160</v>
      </c>
    </row>
    <row r="11" customFormat="false" ht="27.75" hidden="false" customHeight="true" outlineLevel="0" collapsed="false">
      <c r="A11" s="16"/>
      <c r="B11" s="16"/>
      <c r="C11" s="16"/>
      <c r="D11" s="16"/>
      <c r="E11" s="16"/>
      <c r="H11" s="15" t="s">
        <v>161</v>
      </c>
    </row>
    <row r="12" customFormat="false" ht="27.75" hidden="false" customHeight="true" outlineLevel="0" collapsed="false">
      <c r="A12" s="16"/>
      <c r="B12" s="16"/>
      <c r="C12" s="16"/>
      <c r="D12" s="16"/>
      <c r="E12" s="16"/>
      <c r="H12" s="15" t="s">
        <v>162</v>
      </c>
    </row>
    <row r="13" customFormat="false" ht="27.75" hidden="false" customHeight="true" outlineLevel="0" collapsed="false">
      <c r="A13" s="16"/>
      <c r="B13" s="16"/>
      <c r="C13" s="16"/>
      <c r="D13" s="16"/>
      <c r="E13" s="16"/>
      <c r="H13" s="15" t="s">
        <v>163</v>
      </c>
    </row>
    <row r="14" customFormat="false" ht="27.75" hidden="false" customHeight="true" outlineLevel="0" collapsed="false">
      <c r="A14" s="16"/>
      <c r="B14" s="16"/>
      <c r="C14" s="16"/>
      <c r="D14" s="16"/>
      <c r="E14" s="16"/>
      <c r="H14" s="15" t="s">
        <v>164</v>
      </c>
    </row>
    <row r="15" customFormat="false" ht="27.75" hidden="false" customHeight="true" outlineLevel="0" collapsed="false">
      <c r="A15" s="16"/>
      <c r="B15" s="16"/>
      <c r="C15" s="16"/>
      <c r="D15" s="16"/>
      <c r="E15" s="16"/>
      <c r="H15" s="15" t="s">
        <v>165</v>
      </c>
    </row>
    <row r="16" customFormat="false" ht="27.75" hidden="false" customHeight="true" outlineLevel="0" collapsed="false">
      <c r="A16" s="16"/>
      <c r="B16" s="16"/>
      <c r="C16" s="16"/>
      <c r="D16" s="16"/>
      <c r="E16" s="16"/>
      <c r="H16" s="15" t="s">
        <v>166</v>
      </c>
    </row>
    <row r="17" customFormat="false" ht="27.75" hidden="false" customHeight="true" outlineLevel="0" collapsed="false">
      <c r="A17" s="16"/>
      <c r="B17" s="16"/>
      <c r="C17" s="16"/>
      <c r="D17" s="16"/>
      <c r="E17" s="16"/>
      <c r="H17" s="15" t="s">
        <v>167</v>
      </c>
    </row>
    <row r="18" customFormat="false" ht="27.75" hidden="false" customHeight="true" outlineLevel="0" collapsed="false">
      <c r="A18" s="16"/>
      <c r="B18" s="16"/>
      <c r="C18" s="16"/>
      <c r="D18" s="16"/>
      <c r="E18" s="16"/>
      <c r="H18" s="15" t="s">
        <v>168</v>
      </c>
    </row>
    <row r="19" customFormat="false" ht="27.75" hidden="false" customHeight="true" outlineLevel="0" collapsed="false">
      <c r="A19" s="16"/>
      <c r="B19" s="16"/>
      <c r="C19" s="16"/>
      <c r="D19" s="16"/>
      <c r="E19" s="16"/>
      <c r="H19" s="15" t="s">
        <v>169</v>
      </c>
    </row>
    <row r="20" customFormat="false" ht="27.75" hidden="false" customHeight="true" outlineLevel="0" collapsed="false">
      <c r="A20" s="16"/>
      <c r="B20" s="16"/>
      <c r="C20" s="16"/>
      <c r="D20" s="16"/>
      <c r="E20" s="16"/>
      <c r="H20" s="15" t="s">
        <v>170</v>
      </c>
    </row>
    <row r="21" customFormat="false" ht="27.75" hidden="false" customHeight="true" outlineLevel="0" collapsed="false">
      <c r="A21" s="16"/>
      <c r="B21" s="16"/>
      <c r="C21" s="16"/>
      <c r="D21" s="16"/>
      <c r="E21" s="16"/>
      <c r="H21" s="15" t="s">
        <v>171</v>
      </c>
    </row>
    <row r="22" customFormat="false" ht="27.75" hidden="false" customHeight="true" outlineLevel="0" collapsed="false">
      <c r="A22" s="16"/>
      <c r="B22" s="16"/>
      <c r="C22" s="16"/>
      <c r="D22" s="16"/>
      <c r="E22" s="16"/>
      <c r="H22" s="15" t="s">
        <v>172</v>
      </c>
    </row>
    <row r="23" customFormat="false" ht="27.75" hidden="false" customHeight="true" outlineLevel="0" collapsed="false">
      <c r="A23" s="16"/>
      <c r="B23" s="16"/>
      <c r="C23" s="16"/>
      <c r="D23" s="16"/>
      <c r="E23" s="16"/>
      <c r="H23" s="15" t="s">
        <v>173</v>
      </c>
    </row>
    <row r="24" customFormat="false" ht="27.75" hidden="false" customHeight="true" outlineLevel="0" collapsed="false">
      <c r="A24" s="16"/>
      <c r="B24" s="16"/>
      <c r="C24" s="16"/>
      <c r="D24" s="16"/>
      <c r="E24" s="16"/>
      <c r="H24" s="15" t="s">
        <v>174</v>
      </c>
    </row>
    <row r="25" customFormat="false" ht="27.75" hidden="false" customHeight="true" outlineLevel="0" collapsed="false">
      <c r="A25" s="16"/>
      <c r="B25" s="16"/>
      <c r="C25" s="16"/>
      <c r="D25" s="16"/>
      <c r="E25" s="16"/>
      <c r="H25" s="15" t="s">
        <v>175</v>
      </c>
    </row>
    <row r="26" customFormat="false" ht="27.75" hidden="false" customHeight="true" outlineLevel="0" collapsed="false">
      <c r="A26" s="16"/>
      <c r="B26" s="16"/>
      <c r="C26" s="16"/>
      <c r="D26" s="16"/>
      <c r="E26" s="16"/>
      <c r="H26" s="15" t="s">
        <v>176</v>
      </c>
    </row>
    <row r="27" customFormat="false" ht="27.75" hidden="false" customHeight="true" outlineLevel="0" collapsed="false">
      <c r="A27" s="16"/>
      <c r="B27" s="16"/>
      <c r="C27" s="16"/>
      <c r="D27" s="16"/>
      <c r="E27" s="16"/>
      <c r="H27" s="15" t="s">
        <v>177</v>
      </c>
    </row>
    <row r="28" customFormat="false" ht="27.75" hidden="false" customHeight="true" outlineLevel="0" collapsed="false">
      <c r="A28" s="16"/>
      <c r="B28" s="16"/>
      <c r="C28" s="16"/>
      <c r="D28" s="16"/>
      <c r="E28" s="16"/>
      <c r="H28" s="15" t="s">
        <v>178</v>
      </c>
    </row>
    <row r="29" customFormat="false" ht="27.75" hidden="false" customHeight="true" outlineLevel="0" collapsed="false">
      <c r="A29" s="16"/>
      <c r="B29" s="16"/>
      <c r="C29" s="16"/>
      <c r="D29" s="16"/>
      <c r="E29" s="16"/>
      <c r="H29" s="15" t="s">
        <v>179</v>
      </c>
    </row>
    <row r="30" customFormat="false" ht="27.75" hidden="false" customHeight="true" outlineLevel="0" collapsed="false">
      <c r="A30" s="16"/>
      <c r="B30" s="16"/>
      <c r="C30" s="16"/>
      <c r="D30" s="16"/>
      <c r="E30" s="16"/>
    </row>
    <row r="31" customFormat="false" ht="27.75" hidden="false" customHeight="true" outlineLevel="0" collapsed="false">
      <c r="A31" s="16"/>
      <c r="B31" s="16"/>
      <c r="C31" s="16"/>
      <c r="D31" s="16"/>
      <c r="E31" s="16"/>
    </row>
    <row r="32" customFormat="false" ht="27.75" hidden="false" customHeight="true" outlineLevel="0" collapsed="false">
      <c r="A32" s="16"/>
      <c r="B32" s="16"/>
      <c r="C32" s="16"/>
      <c r="D32" s="16"/>
      <c r="E32" s="16"/>
    </row>
    <row r="33" customFormat="false" ht="27.75" hidden="false" customHeight="true" outlineLevel="0" collapsed="false">
      <c r="A33" s="16"/>
      <c r="B33" s="16"/>
      <c r="C33" s="16"/>
      <c r="D33" s="16"/>
      <c r="E33" s="16"/>
    </row>
    <row r="34" customFormat="false" ht="27.75" hidden="false" customHeight="true" outlineLevel="0" collapsed="false">
      <c r="A34" s="16"/>
      <c r="B34" s="16"/>
      <c r="C34" s="16"/>
      <c r="D34" s="16"/>
      <c r="E34" s="16"/>
    </row>
    <row r="35" customFormat="false" ht="27.75" hidden="false" customHeight="true" outlineLevel="0" collapsed="false">
      <c r="A35" s="16"/>
      <c r="B35" s="16"/>
      <c r="C35" s="16"/>
      <c r="D35" s="16"/>
      <c r="E35" s="16"/>
    </row>
    <row r="36" customFormat="false" ht="27.75" hidden="false" customHeight="true" outlineLevel="0" collapsed="false">
      <c r="A36" s="16"/>
      <c r="B36" s="16"/>
      <c r="C36" s="16"/>
      <c r="D36" s="16"/>
      <c r="E36" s="16"/>
    </row>
    <row r="37" customFormat="false" ht="27.75" hidden="false" customHeight="true" outlineLevel="0" collapsed="false">
      <c r="A37" s="16"/>
      <c r="B37" s="16"/>
      <c r="C37" s="16"/>
      <c r="D37" s="16"/>
      <c r="E37" s="16"/>
    </row>
    <row r="38" customFormat="false" ht="27.75" hidden="false" customHeight="true" outlineLevel="0" collapsed="false">
      <c r="A38" s="16"/>
      <c r="B38" s="16"/>
      <c r="C38" s="16"/>
      <c r="D38" s="16"/>
      <c r="E38" s="16"/>
    </row>
    <row r="39" customFormat="false" ht="27.75" hidden="false" customHeight="true" outlineLevel="0" collapsed="false">
      <c r="A39" s="16"/>
      <c r="B39" s="16"/>
      <c r="C39" s="16"/>
      <c r="D39" s="16"/>
      <c r="E39" s="16"/>
    </row>
    <row r="40" customFormat="false" ht="27.75" hidden="false" customHeight="true" outlineLevel="0" collapsed="false">
      <c r="A40" s="16"/>
      <c r="B40" s="16"/>
      <c r="C40" s="16"/>
      <c r="D40" s="16"/>
      <c r="E40" s="16"/>
    </row>
    <row r="41" customFormat="false" ht="27.75" hidden="false" customHeight="true" outlineLevel="0" collapsed="false">
      <c r="A41" s="16"/>
      <c r="B41" s="16"/>
      <c r="C41" s="16"/>
      <c r="D41" s="16"/>
      <c r="E41" s="16"/>
    </row>
    <row r="42" customFormat="false" ht="27.75" hidden="false" customHeight="true" outlineLevel="0" collapsed="false">
      <c r="A42" s="16"/>
      <c r="B42" s="16"/>
      <c r="C42" s="16"/>
      <c r="D42" s="16"/>
      <c r="E42" s="16"/>
    </row>
    <row r="43" customFormat="false" ht="27.75" hidden="false" customHeight="true" outlineLevel="0" collapsed="false">
      <c r="A43" s="16"/>
      <c r="B43" s="16"/>
      <c r="C43" s="16"/>
      <c r="D43" s="16"/>
      <c r="E43" s="16"/>
    </row>
    <row r="44" customFormat="false" ht="27.75" hidden="false" customHeight="true" outlineLevel="0" collapsed="false">
      <c r="A44" s="16"/>
      <c r="B44" s="16"/>
      <c r="C44" s="16"/>
      <c r="D44" s="16"/>
      <c r="E44" s="16"/>
    </row>
    <row r="45" customFormat="false" ht="27.75" hidden="false" customHeight="true" outlineLevel="0" collapsed="false">
      <c r="A45" s="16"/>
      <c r="B45" s="16"/>
      <c r="C45" s="16"/>
      <c r="D45" s="16"/>
      <c r="E45" s="16"/>
    </row>
    <row r="46" customFormat="false" ht="27.75" hidden="false" customHeight="true" outlineLevel="0" collapsed="false">
      <c r="A46" s="16"/>
      <c r="B46" s="16"/>
      <c r="C46" s="16"/>
      <c r="D46" s="16"/>
      <c r="E46" s="16"/>
    </row>
    <row r="47" customFormat="false" ht="27.75" hidden="false" customHeight="true" outlineLevel="0" collapsed="false">
      <c r="A47" s="16"/>
      <c r="B47" s="16"/>
      <c r="C47" s="16"/>
      <c r="D47" s="16"/>
      <c r="E47" s="16"/>
    </row>
  </sheetData>
  <mergeCells count="2">
    <mergeCell ref="A1:E1"/>
    <mergeCell ref="A2:E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8"/>
    <col collapsed="false" customWidth="true" hidden="false" outlineLevel="0" max="3" min="3" style="0" width="36"/>
    <col collapsed="false" customWidth="true" hidden="false" outlineLevel="0" max="4" min="4" style="0" width="24"/>
    <col collapsed="false" customWidth="true" hidden="false" outlineLevel="0" max="5" min="5" style="0" width="36"/>
    <col collapsed="false" customWidth="true" hidden="false" outlineLevel="0" max="6" min="6" style="0" width="32"/>
    <col collapsed="false" customWidth="true" hidden="false" outlineLevel="0" max="7" min="7" style="0" width="36"/>
    <col collapsed="false" customWidth="true" hidden="false" outlineLevel="0" max="8" min="8" style="0" width="16"/>
    <col collapsed="false" customWidth="true" hidden="false" outlineLevel="0" max="10" min="10" style="0" width="40"/>
  </cols>
  <sheetData>
    <row r="1" customFormat="false" ht="27.75" hidden="false" customHeight="true" outlineLevel="0" collapsed="false">
      <c r="A1" s="9" t="s">
        <v>180</v>
      </c>
      <c r="B1" s="9"/>
      <c r="C1" s="9"/>
      <c r="D1" s="9"/>
      <c r="E1" s="9"/>
      <c r="F1" s="9"/>
      <c r="G1" s="9"/>
    </row>
    <row r="2" customFormat="false" ht="18" hidden="false" customHeight="true" outlineLevel="0" collapsed="false">
      <c r="A2" s="10" t="s">
        <v>181</v>
      </c>
      <c r="B2" s="10"/>
      <c r="C2" s="10"/>
      <c r="D2" s="10"/>
      <c r="E2" s="10"/>
      <c r="F2" s="10"/>
      <c r="G2" s="10"/>
    </row>
    <row r="3" customFormat="false" ht="6" hidden="false" customHeight="true" outlineLevel="0" collapsed="false"/>
    <row r="4" customFormat="false" ht="31.5" hidden="false" customHeight="true" outlineLevel="0" collapsed="false">
      <c r="A4" s="11" t="s">
        <v>182</v>
      </c>
      <c r="B4" s="11" t="s">
        <v>183</v>
      </c>
      <c r="C4" s="11" t="s">
        <v>38</v>
      </c>
      <c r="D4" s="11" t="s">
        <v>184</v>
      </c>
      <c r="E4" s="11" t="s">
        <v>185</v>
      </c>
      <c r="F4" s="11" t="s">
        <v>186</v>
      </c>
      <c r="G4" s="11" t="s">
        <v>187</v>
      </c>
      <c r="J4" s="12" t="s">
        <v>188</v>
      </c>
    </row>
    <row r="5" customFormat="false" ht="31.5" hidden="false" customHeight="true" outlineLevel="0" collapsed="false">
      <c r="A5" s="13" t="s">
        <v>189</v>
      </c>
      <c r="B5" s="13" t="s">
        <v>190</v>
      </c>
      <c r="C5" s="13" t="s">
        <v>191</v>
      </c>
      <c r="D5" s="13" t="s">
        <v>192</v>
      </c>
      <c r="E5" s="13" t="s">
        <v>193</v>
      </c>
      <c r="F5" s="13" t="s">
        <v>194</v>
      </c>
      <c r="G5" s="13" t="s">
        <v>195</v>
      </c>
      <c r="H5" s="14" t="s">
        <v>54</v>
      </c>
      <c r="J5" s="15" t="s">
        <v>196</v>
      </c>
    </row>
    <row r="6" customFormat="false" ht="31.5" hidden="false" customHeight="true" outlineLevel="0" collapsed="false">
      <c r="A6" s="13" t="s">
        <v>197</v>
      </c>
      <c r="B6" s="13" t="s">
        <v>190</v>
      </c>
      <c r="C6" s="13" t="s">
        <v>198</v>
      </c>
      <c r="D6" s="13" t="s">
        <v>199</v>
      </c>
      <c r="E6" s="13" t="s">
        <v>200</v>
      </c>
      <c r="F6" s="13" t="s">
        <v>201</v>
      </c>
      <c r="G6" s="13" t="s">
        <v>202</v>
      </c>
      <c r="H6" s="14" t="s">
        <v>54</v>
      </c>
      <c r="J6" s="15" t="s">
        <v>203</v>
      </c>
    </row>
    <row r="7" customFormat="false" ht="27.75" hidden="false" customHeight="true" outlineLevel="0" collapsed="false">
      <c r="A7" s="16"/>
      <c r="B7" s="16"/>
      <c r="C7" s="16"/>
      <c r="D7" s="16"/>
      <c r="E7" s="16"/>
      <c r="F7" s="16"/>
      <c r="G7" s="16"/>
      <c r="J7" s="15" t="s">
        <v>204</v>
      </c>
    </row>
    <row r="8" customFormat="false" ht="27.75" hidden="false" customHeight="true" outlineLevel="0" collapsed="false">
      <c r="A8" s="16"/>
      <c r="B8" s="16"/>
      <c r="C8" s="16"/>
      <c r="D8" s="16"/>
      <c r="E8" s="16"/>
      <c r="F8" s="16"/>
      <c r="G8" s="16"/>
      <c r="J8" s="15" t="s">
        <v>205</v>
      </c>
    </row>
    <row r="9" customFormat="false" ht="27.75" hidden="false" customHeight="true" outlineLevel="0" collapsed="false">
      <c r="A9" s="16"/>
      <c r="B9" s="16"/>
      <c r="C9" s="16"/>
      <c r="D9" s="16"/>
      <c r="E9" s="16"/>
      <c r="F9" s="16"/>
      <c r="G9" s="16"/>
      <c r="J9" s="15" t="s">
        <v>206</v>
      </c>
    </row>
    <row r="10" customFormat="false" ht="27.75" hidden="false" customHeight="true" outlineLevel="0" collapsed="false">
      <c r="A10" s="16"/>
      <c r="B10" s="16"/>
      <c r="C10" s="16"/>
      <c r="D10" s="16"/>
      <c r="E10" s="16"/>
      <c r="F10" s="16"/>
      <c r="G10" s="16"/>
      <c r="J10" s="15" t="s">
        <v>207</v>
      </c>
    </row>
    <row r="11" customFormat="false" ht="27.75" hidden="false" customHeight="true" outlineLevel="0" collapsed="false">
      <c r="A11" s="16"/>
      <c r="B11" s="16"/>
      <c r="C11" s="16"/>
      <c r="D11" s="16"/>
      <c r="E11" s="16"/>
      <c r="F11" s="16"/>
      <c r="G11" s="16"/>
      <c r="J11" s="15" t="s">
        <v>208</v>
      </c>
    </row>
    <row r="12" customFormat="false" ht="27.75" hidden="false" customHeight="true" outlineLevel="0" collapsed="false">
      <c r="A12" s="16"/>
      <c r="B12" s="16"/>
      <c r="C12" s="16"/>
      <c r="D12" s="16"/>
      <c r="E12" s="16"/>
      <c r="F12" s="16"/>
      <c r="G12" s="16"/>
      <c r="J12" s="15" t="s">
        <v>209</v>
      </c>
    </row>
    <row r="13" customFormat="false" ht="27.75" hidden="false" customHeight="true" outlineLevel="0" collapsed="false">
      <c r="A13" s="16"/>
      <c r="B13" s="16"/>
      <c r="C13" s="16"/>
      <c r="D13" s="16"/>
      <c r="E13" s="16"/>
      <c r="F13" s="16"/>
      <c r="G13" s="16"/>
      <c r="J13" s="15" t="s">
        <v>210</v>
      </c>
    </row>
    <row r="14" customFormat="false" ht="27.75" hidden="false" customHeight="true" outlineLevel="0" collapsed="false">
      <c r="A14" s="16"/>
      <c r="B14" s="16"/>
      <c r="C14" s="16"/>
      <c r="D14" s="16"/>
      <c r="E14" s="16"/>
      <c r="F14" s="16"/>
      <c r="G14" s="16"/>
      <c r="J14" s="15" t="s">
        <v>211</v>
      </c>
    </row>
    <row r="15" customFormat="false" ht="27.75" hidden="false" customHeight="true" outlineLevel="0" collapsed="false">
      <c r="A15" s="16"/>
      <c r="B15" s="16"/>
      <c r="C15" s="16"/>
      <c r="D15" s="16"/>
      <c r="E15" s="16"/>
      <c r="F15" s="16"/>
      <c r="G15" s="16"/>
      <c r="J15" s="15" t="s">
        <v>212</v>
      </c>
    </row>
    <row r="16" customFormat="false" ht="27.75" hidden="false" customHeight="true" outlineLevel="0" collapsed="false">
      <c r="A16" s="16"/>
      <c r="B16" s="16"/>
      <c r="C16" s="16"/>
      <c r="D16" s="16"/>
      <c r="E16" s="16"/>
      <c r="F16" s="16"/>
      <c r="G16" s="16"/>
      <c r="J16" s="15" t="s">
        <v>213</v>
      </c>
    </row>
    <row r="17" customFormat="false" ht="27.75" hidden="false" customHeight="true" outlineLevel="0" collapsed="false">
      <c r="A17" s="16"/>
      <c r="B17" s="16"/>
      <c r="C17" s="16"/>
      <c r="D17" s="16"/>
      <c r="E17" s="16"/>
      <c r="F17" s="16"/>
      <c r="G17" s="16"/>
      <c r="J17" s="15" t="s">
        <v>214</v>
      </c>
    </row>
    <row r="18" customFormat="false" ht="27.75" hidden="false" customHeight="true" outlineLevel="0" collapsed="false">
      <c r="A18" s="16"/>
      <c r="B18" s="16"/>
      <c r="C18" s="16"/>
      <c r="D18" s="16"/>
      <c r="E18" s="16"/>
      <c r="F18" s="16"/>
      <c r="G18" s="16"/>
      <c r="J18" s="15" t="s">
        <v>215</v>
      </c>
    </row>
    <row r="19" customFormat="false" ht="27.75" hidden="false" customHeight="true" outlineLevel="0" collapsed="false">
      <c r="A19" s="16"/>
      <c r="B19" s="16"/>
      <c r="C19" s="16"/>
      <c r="D19" s="16"/>
      <c r="E19" s="16"/>
      <c r="F19" s="16"/>
      <c r="G19" s="16"/>
      <c r="J19" s="15" t="s">
        <v>216</v>
      </c>
    </row>
    <row r="20" customFormat="false" ht="27.75" hidden="false" customHeight="true" outlineLevel="0" collapsed="false">
      <c r="A20" s="16"/>
      <c r="B20" s="16"/>
      <c r="C20" s="16"/>
      <c r="D20" s="16"/>
      <c r="E20" s="16"/>
      <c r="F20" s="16"/>
      <c r="G20" s="16"/>
      <c r="J20" s="15" t="s">
        <v>217</v>
      </c>
    </row>
    <row r="21" customFormat="false" ht="27.75" hidden="false" customHeight="true" outlineLevel="0" collapsed="false">
      <c r="A21" s="16"/>
      <c r="B21" s="16"/>
      <c r="C21" s="16"/>
      <c r="D21" s="16"/>
      <c r="E21" s="16"/>
      <c r="F21" s="16"/>
      <c r="G21" s="16"/>
      <c r="J21" s="15" t="s">
        <v>218</v>
      </c>
    </row>
    <row r="22" customFormat="false" ht="27.75" hidden="false" customHeight="true" outlineLevel="0" collapsed="false">
      <c r="A22" s="16"/>
      <c r="B22" s="16"/>
      <c r="C22" s="16"/>
      <c r="D22" s="16"/>
      <c r="E22" s="16"/>
      <c r="F22" s="16"/>
      <c r="G22" s="16"/>
      <c r="J22" s="15" t="s">
        <v>219</v>
      </c>
    </row>
    <row r="23" customFormat="false" ht="27.75" hidden="false" customHeight="true" outlineLevel="0" collapsed="false">
      <c r="A23" s="16"/>
      <c r="B23" s="16"/>
      <c r="C23" s="16"/>
      <c r="D23" s="16"/>
      <c r="E23" s="16"/>
      <c r="F23" s="16"/>
      <c r="G23" s="16"/>
      <c r="J23" s="15" t="s">
        <v>220</v>
      </c>
    </row>
    <row r="24" customFormat="false" ht="27.75" hidden="false" customHeight="true" outlineLevel="0" collapsed="false">
      <c r="A24" s="16"/>
      <c r="B24" s="16"/>
      <c r="C24" s="16"/>
      <c r="D24" s="16"/>
      <c r="E24" s="16"/>
      <c r="F24" s="16"/>
      <c r="G24" s="16"/>
      <c r="J24" s="15" t="s">
        <v>221</v>
      </c>
    </row>
    <row r="25" customFormat="false" ht="15" hidden="false" customHeight="false" outlineLevel="0" collapsed="false">
      <c r="J25" s="15" t="s">
        <v>222</v>
      </c>
    </row>
    <row r="26" customFormat="false" ht="15" hidden="false" customHeight="false" outlineLevel="0" collapsed="false">
      <c r="J26" s="15" t="s">
        <v>223</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28"/>
    <col collapsed="false" customWidth="true" hidden="false" outlineLevel="0" max="4" min="4" style="0" width="24"/>
    <col collapsed="false" customWidth="true" hidden="false" outlineLevel="0" max="5" min="5" style="0" width="22"/>
    <col collapsed="false" customWidth="true" hidden="false" outlineLevel="0" max="6" min="6" style="0" width="38"/>
    <col collapsed="false" customWidth="true" hidden="false" outlineLevel="0" max="7" min="7" style="0" width="32"/>
    <col collapsed="false" customWidth="true" hidden="false" outlineLevel="0" max="8" min="8" style="0" width="16"/>
    <col collapsed="false" customWidth="true" hidden="false" outlineLevel="0" max="10" min="10" style="0" width="40"/>
  </cols>
  <sheetData>
    <row r="1" customFormat="false" ht="27.75" hidden="false" customHeight="true" outlineLevel="0" collapsed="false">
      <c r="A1" s="9" t="s">
        <v>224</v>
      </c>
      <c r="B1" s="9"/>
      <c r="C1" s="9"/>
      <c r="D1" s="9"/>
      <c r="E1" s="9"/>
      <c r="F1" s="9"/>
      <c r="G1" s="9"/>
    </row>
    <row r="2" customFormat="false" ht="18" hidden="false" customHeight="true" outlineLevel="0" collapsed="false">
      <c r="A2" s="10" t="s">
        <v>225</v>
      </c>
      <c r="B2" s="10"/>
      <c r="C2" s="10"/>
      <c r="D2" s="10"/>
      <c r="E2" s="10"/>
      <c r="F2" s="10"/>
      <c r="G2" s="10"/>
    </row>
    <row r="3" customFormat="false" ht="6" hidden="false" customHeight="true" outlineLevel="0" collapsed="false"/>
    <row r="4" customFormat="false" ht="31.5" hidden="false" customHeight="true" outlineLevel="0" collapsed="false">
      <c r="A4" s="11" t="s">
        <v>226</v>
      </c>
      <c r="B4" s="11" t="s">
        <v>227</v>
      </c>
      <c r="C4" s="11" t="s">
        <v>228</v>
      </c>
      <c r="D4" s="11" t="s">
        <v>229</v>
      </c>
      <c r="E4" s="11" t="s">
        <v>230</v>
      </c>
      <c r="F4" s="11" t="s">
        <v>231</v>
      </c>
      <c r="G4" s="11" t="s">
        <v>232</v>
      </c>
      <c r="J4" s="12" t="s">
        <v>233</v>
      </c>
    </row>
    <row r="5" customFormat="false" ht="31.5" hidden="false" customHeight="true" outlineLevel="0" collapsed="false">
      <c r="A5" s="13" t="s">
        <v>234</v>
      </c>
      <c r="B5" s="13" t="s">
        <v>235</v>
      </c>
      <c r="C5" s="13" t="s">
        <v>236</v>
      </c>
      <c r="D5" s="13" t="s">
        <v>237</v>
      </c>
      <c r="E5" s="13" t="s">
        <v>238</v>
      </c>
      <c r="F5" s="13" t="s">
        <v>239</v>
      </c>
      <c r="G5" s="13" t="s">
        <v>240</v>
      </c>
      <c r="H5" s="14" t="s">
        <v>54</v>
      </c>
      <c r="J5" s="15" t="s">
        <v>241</v>
      </c>
    </row>
    <row r="6" customFormat="false" ht="31.5" hidden="false" customHeight="true" outlineLevel="0" collapsed="false">
      <c r="A6" s="13" t="s">
        <v>242</v>
      </c>
      <c r="B6" s="13" t="s">
        <v>243</v>
      </c>
      <c r="C6" s="13" t="s">
        <v>244</v>
      </c>
      <c r="D6" s="13" t="s">
        <v>237</v>
      </c>
      <c r="E6" s="13" t="s">
        <v>245</v>
      </c>
      <c r="F6" s="13" t="s">
        <v>246</v>
      </c>
      <c r="G6" s="13" t="s">
        <v>247</v>
      </c>
      <c r="H6" s="14" t="s">
        <v>54</v>
      </c>
      <c r="J6" s="15" t="s">
        <v>248</v>
      </c>
    </row>
    <row r="7" customFormat="false" ht="31.5" hidden="false" customHeight="true" outlineLevel="0" collapsed="false">
      <c r="A7" s="13" t="s">
        <v>249</v>
      </c>
      <c r="B7" s="13" t="s">
        <v>250</v>
      </c>
      <c r="C7" s="13" t="s">
        <v>251</v>
      </c>
      <c r="D7" s="13" t="s">
        <v>252</v>
      </c>
      <c r="E7" s="13" t="s">
        <v>238</v>
      </c>
      <c r="F7" s="13" t="s">
        <v>253</v>
      </c>
      <c r="G7" s="13" t="s">
        <v>254</v>
      </c>
      <c r="H7" s="14" t="s">
        <v>54</v>
      </c>
      <c r="J7" s="15" t="s">
        <v>255</v>
      </c>
    </row>
    <row r="8" customFormat="false" ht="27.75" hidden="false" customHeight="true" outlineLevel="0" collapsed="false">
      <c r="A8" s="16"/>
      <c r="B8" s="16"/>
      <c r="C8" s="16"/>
      <c r="D8" s="16"/>
      <c r="E8" s="16"/>
      <c r="F8" s="16"/>
      <c r="G8" s="16"/>
      <c r="J8" s="15" t="s">
        <v>256</v>
      </c>
    </row>
    <row r="9" customFormat="false" ht="27.75" hidden="false" customHeight="true" outlineLevel="0" collapsed="false">
      <c r="A9" s="16"/>
      <c r="B9" s="16"/>
      <c r="C9" s="16"/>
      <c r="D9" s="16"/>
      <c r="E9" s="16"/>
      <c r="F9" s="16"/>
      <c r="G9" s="16"/>
      <c r="J9" s="15" t="s">
        <v>257</v>
      </c>
    </row>
    <row r="10" customFormat="false" ht="27.75" hidden="false" customHeight="true" outlineLevel="0" collapsed="false">
      <c r="A10" s="16"/>
      <c r="B10" s="16"/>
      <c r="C10" s="16"/>
      <c r="D10" s="16"/>
      <c r="E10" s="16"/>
      <c r="F10" s="16"/>
      <c r="G10" s="16"/>
      <c r="J10" s="15" t="s">
        <v>258</v>
      </c>
    </row>
    <row r="11" customFormat="false" ht="27.75" hidden="false" customHeight="true" outlineLevel="0" collapsed="false">
      <c r="A11" s="16"/>
      <c r="B11" s="16"/>
      <c r="C11" s="16"/>
      <c r="D11" s="16"/>
      <c r="E11" s="16"/>
      <c r="F11" s="16"/>
      <c r="G11" s="16"/>
      <c r="J11" s="15" t="s">
        <v>259</v>
      </c>
    </row>
    <row r="12" customFormat="false" ht="27.75" hidden="false" customHeight="true" outlineLevel="0" collapsed="false">
      <c r="A12" s="16"/>
      <c r="B12" s="16"/>
      <c r="C12" s="16"/>
      <c r="D12" s="16"/>
      <c r="E12" s="16"/>
      <c r="F12" s="16"/>
      <c r="G12" s="16"/>
      <c r="J12" s="15" t="s">
        <v>260</v>
      </c>
    </row>
    <row r="13" customFormat="false" ht="27.75" hidden="false" customHeight="true" outlineLevel="0" collapsed="false">
      <c r="A13" s="16"/>
      <c r="B13" s="16"/>
      <c r="C13" s="16"/>
      <c r="D13" s="16"/>
      <c r="E13" s="16"/>
      <c r="F13" s="16"/>
      <c r="G13" s="16"/>
      <c r="J13" s="15" t="s">
        <v>261</v>
      </c>
    </row>
    <row r="14" customFormat="false" ht="27.75" hidden="false" customHeight="true" outlineLevel="0" collapsed="false">
      <c r="A14" s="16"/>
      <c r="B14" s="16"/>
      <c r="C14" s="16"/>
      <c r="D14" s="16"/>
      <c r="E14" s="16"/>
      <c r="F14" s="16"/>
      <c r="G14" s="16"/>
      <c r="J14" s="15" t="s">
        <v>262</v>
      </c>
    </row>
    <row r="15" customFormat="false" ht="27.75" hidden="false" customHeight="true" outlineLevel="0" collapsed="false">
      <c r="A15" s="16"/>
      <c r="B15" s="16"/>
      <c r="C15" s="16"/>
      <c r="D15" s="16"/>
      <c r="E15" s="16"/>
      <c r="F15" s="16"/>
      <c r="G15" s="16"/>
      <c r="J15" s="15" t="s">
        <v>263</v>
      </c>
    </row>
    <row r="16" customFormat="false" ht="27.75" hidden="false" customHeight="true" outlineLevel="0" collapsed="false">
      <c r="A16" s="16"/>
      <c r="B16" s="16"/>
      <c r="C16" s="16"/>
      <c r="D16" s="16"/>
      <c r="E16" s="16"/>
      <c r="F16" s="16"/>
      <c r="G16" s="16"/>
      <c r="J16" s="15" t="s">
        <v>264</v>
      </c>
    </row>
    <row r="17" customFormat="false" ht="27.75" hidden="false" customHeight="true" outlineLevel="0" collapsed="false">
      <c r="A17" s="16"/>
      <c r="B17" s="16"/>
      <c r="C17" s="16"/>
      <c r="D17" s="16"/>
      <c r="E17" s="16"/>
      <c r="F17" s="16"/>
      <c r="G17" s="16"/>
      <c r="J17" s="15" t="s">
        <v>265</v>
      </c>
    </row>
    <row r="18" customFormat="false" ht="27.75" hidden="false" customHeight="true" outlineLevel="0" collapsed="false">
      <c r="A18" s="16"/>
      <c r="B18" s="16"/>
      <c r="C18" s="16"/>
      <c r="D18" s="16"/>
      <c r="E18" s="16"/>
      <c r="F18" s="16"/>
      <c r="G18" s="16"/>
      <c r="J18" s="15" t="s">
        <v>266</v>
      </c>
    </row>
    <row r="19" customFormat="false" ht="27.75" hidden="false" customHeight="true" outlineLevel="0" collapsed="false">
      <c r="A19" s="16"/>
      <c r="B19" s="16"/>
      <c r="C19" s="16"/>
      <c r="D19" s="16"/>
      <c r="E19" s="16"/>
      <c r="F19" s="16"/>
      <c r="G19" s="16"/>
      <c r="J19" s="17" t="s">
        <v>267</v>
      </c>
    </row>
    <row r="20" customFormat="false" ht="27.75" hidden="false" customHeight="true" outlineLevel="0" collapsed="false">
      <c r="A20" s="16"/>
      <c r="B20" s="16"/>
      <c r="C20" s="16"/>
      <c r="D20" s="16"/>
      <c r="E20" s="16"/>
      <c r="F20" s="16"/>
      <c r="G20" s="16"/>
      <c r="J20" s="18" t="s">
        <v>268</v>
      </c>
    </row>
    <row r="21" customFormat="false" ht="27.75" hidden="false" customHeight="true" outlineLevel="0" collapsed="false">
      <c r="A21" s="16"/>
      <c r="B21" s="16"/>
      <c r="C21" s="16"/>
      <c r="D21" s="16"/>
      <c r="E21" s="16"/>
      <c r="F21" s="16"/>
      <c r="G21" s="16"/>
      <c r="J21" s="15" t="s">
        <v>269</v>
      </c>
    </row>
    <row r="22" customFormat="false" ht="27.75" hidden="false" customHeight="true" outlineLevel="0" collapsed="false">
      <c r="A22" s="16"/>
      <c r="B22" s="16"/>
      <c r="C22" s="16"/>
      <c r="D22" s="16"/>
      <c r="E22" s="16"/>
      <c r="F22" s="16"/>
      <c r="G22" s="16"/>
      <c r="J22" s="15" t="s">
        <v>270</v>
      </c>
    </row>
    <row r="23" customFormat="false" ht="27.75" hidden="false" customHeight="true" outlineLevel="0" collapsed="false">
      <c r="A23" s="16"/>
      <c r="B23" s="16"/>
      <c r="C23" s="16"/>
      <c r="D23" s="16"/>
      <c r="E23" s="16"/>
      <c r="F23" s="16"/>
      <c r="G23" s="16"/>
      <c r="J23" s="15" t="s">
        <v>271</v>
      </c>
    </row>
    <row r="24" customFormat="false" ht="27.75" hidden="false" customHeight="true" outlineLevel="0" collapsed="false">
      <c r="A24" s="16"/>
      <c r="B24" s="16"/>
      <c r="C24" s="16"/>
      <c r="D24" s="16"/>
      <c r="E24" s="16"/>
      <c r="F24" s="16"/>
      <c r="G24" s="16"/>
      <c r="J24" s="15" t="s">
        <v>272</v>
      </c>
    </row>
    <row r="25" customFormat="false" ht="27.75" hidden="false" customHeight="true" outlineLevel="0" collapsed="false">
      <c r="A25" s="16"/>
      <c r="B25" s="16"/>
      <c r="C25" s="16"/>
      <c r="D25" s="16"/>
      <c r="E25" s="16"/>
      <c r="F25" s="16"/>
      <c r="G25" s="16"/>
      <c r="J25" s="15" t="s">
        <v>273</v>
      </c>
    </row>
    <row r="26" customFormat="false" ht="27.75" hidden="false" customHeight="true" outlineLevel="0" collapsed="false">
      <c r="A26" s="16"/>
      <c r="B26" s="16"/>
      <c r="C26" s="16"/>
      <c r="D26" s="16"/>
      <c r="E26" s="16"/>
      <c r="F26" s="16"/>
      <c r="G26" s="16"/>
    </row>
    <row r="27" customFormat="false" ht="27.75" hidden="false" customHeight="true" outlineLevel="0" collapsed="false">
      <c r="A27" s="16"/>
      <c r="B27" s="16"/>
      <c r="C27" s="16"/>
      <c r="D27" s="16"/>
      <c r="E27" s="16"/>
      <c r="F27" s="16"/>
      <c r="G27" s="16"/>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4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2"/>
    <col collapsed="false" customWidth="true" hidden="false" outlineLevel="0" max="3" min="3" style="0" width="32"/>
    <col collapsed="false" customWidth="true" hidden="false" outlineLevel="0" max="4" min="4" style="0" width="40"/>
    <col collapsed="false" customWidth="true" hidden="false" outlineLevel="0" max="5" min="5" style="0" width="50"/>
    <col collapsed="false" customWidth="true" hidden="false" outlineLevel="0" max="6" min="6" style="0" width="14"/>
    <col collapsed="false" customWidth="true" hidden="false" outlineLevel="0" max="8" min="7" style="0" width="16"/>
    <col collapsed="false" customWidth="true" hidden="false" outlineLevel="0" max="9" min="9" style="0" width="18"/>
    <col collapsed="false" customWidth="true" hidden="false" outlineLevel="0" max="10" min="10" style="0" width="10"/>
  </cols>
  <sheetData>
    <row r="1" customFormat="false" ht="27.75" hidden="false" customHeight="true" outlineLevel="0" collapsed="false">
      <c r="A1" s="9" t="s">
        <v>274</v>
      </c>
      <c r="B1" s="9"/>
      <c r="C1" s="9"/>
      <c r="D1" s="9"/>
      <c r="E1" s="9"/>
      <c r="F1" s="9"/>
      <c r="G1" s="9"/>
    </row>
    <row r="2" customFormat="false" ht="18" hidden="false" customHeight="true" outlineLevel="0" collapsed="false">
      <c r="A2" s="10" t="s">
        <v>275</v>
      </c>
      <c r="B2" s="10"/>
      <c r="C2" s="10"/>
      <c r="D2" s="10"/>
      <c r="E2" s="10"/>
      <c r="F2" s="10"/>
      <c r="G2" s="10"/>
    </row>
    <row r="3" customFormat="false" ht="6" hidden="false" customHeight="true" outlineLevel="0" collapsed="false"/>
    <row r="4" customFormat="false" ht="31.5" hidden="false" customHeight="true" outlineLevel="0" collapsed="false">
      <c r="A4" s="11" t="s">
        <v>276</v>
      </c>
      <c r="B4" s="11" t="s">
        <v>277</v>
      </c>
      <c r="C4" s="11" t="s">
        <v>278</v>
      </c>
      <c r="D4" s="11" t="s">
        <v>279</v>
      </c>
      <c r="E4" s="11" t="s">
        <v>280</v>
      </c>
      <c r="F4" s="11" t="s">
        <v>281</v>
      </c>
      <c r="G4" s="11" t="s">
        <v>282</v>
      </c>
      <c r="I4" s="12" t="s">
        <v>283</v>
      </c>
    </row>
    <row r="5" customFormat="false" ht="31.5" hidden="false" customHeight="true" outlineLevel="0" collapsed="false">
      <c r="A5" s="13" t="s">
        <v>284</v>
      </c>
      <c r="B5" s="13" t="s">
        <v>285</v>
      </c>
      <c r="C5" s="13" t="s">
        <v>286</v>
      </c>
      <c r="D5" s="13" t="s">
        <v>287</v>
      </c>
      <c r="E5" s="13" t="s">
        <v>288</v>
      </c>
      <c r="F5" s="13" t="s">
        <v>289</v>
      </c>
      <c r="G5" s="13"/>
      <c r="H5" s="14" t="s">
        <v>54</v>
      </c>
      <c r="I5" s="6" t="s">
        <v>290</v>
      </c>
      <c r="J5" s="19" t="n">
        <f aca="false">COUNTA(C5:C100)-1</f>
        <v>0</v>
      </c>
    </row>
    <row r="6" customFormat="false" ht="27.75" hidden="false" customHeight="true" outlineLevel="0" collapsed="false">
      <c r="A6" s="16"/>
      <c r="B6" s="16"/>
      <c r="C6" s="16"/>
      <c r="D6" s="16"/>
      <c r="E6" s="16"/>
      <c r="F6" s="16"/>
      <c r="G6" s="16"/>
      <c r="I6" s="6" t="s">
        <v>291</v>
      </c>
      <c r="J6" s="19" t="n">
        <f aca="false">COUNTIF(F5:F100,"Mastered")</f>
        <v>0</v>
      </c>
    </row>
    <row r="7" customFormat="false" ht="27.75" hidden="false" customHeight="true" outlineLevel="0" collapsed="false">
      <c r="A7" s="16"/>
      <c r="B7" s="16"/>
      <c r="C7" s="16"/>
      <c r="D7" s="16"/>
      <c r="E7" s="16"/>
      <c r="F7" s="16"/>
      <c r="G7" s="16"/>
      <c r="I7" s="6" t="s">
        <v>292</v>
      </c>
      <c r="J7" s="19" t="n">
        <f aca="false">COUNTIF(F5:F100,"Reviewing")</f>
        <v>1</v>
      </c>
    </row>
    <row r="8" customFormat="false" ht="27.75" hidden="false" customHeight="true" outlineLevel="0" collapsed="false">
      <c r="A8" s="16"/>
      <c r="B8" s="16"/>
      <c r="C8" s="16"/>
      <c r="D8" s="16"/>
      <c r="E8" s="16"/>
      <c r="F8" s="16"/>
      <c r="G8" s="16"/>
      <c r="I8" s="6" t="s">
        <v>293</v>
      </c>
      <c r="J8" s="20" t="n">
        <f aca="false">IFERROR(J6/J5,0)</f>
        <v>0</v>
      </c>
    </row>
    <row r="9" customFormat="false" ht="27.75" hidden="false" customHeight="true" outlineLevel="0" collapsed="false">
      <c r="A9" s="16"/>
      <c r="B9" s="16"/>
      <c r="C9" s="16"/>
      <c r="D9" s="16"/>
      <c r="E9" s="16"/>
      <c r="F9" s="16"/>
      <c r="G9" s="16"/>
    </row>
    <row r="10" customFormat="false" ht="27.75" hidden="false" customHeight="true" outlineLevel="0" collapsed="false">
      <c r="A10" s="16"/>
      <c r="B10" s="16"/>
      <c r="C10" s="16"/>
      <c r="D10" s="16"/>
      <c r="E10" s="16"/>
      <c r="F10" s="16"/>
      <c r="G10" s="16"/>
    </row>
    <row r="11" customFormat="false" ht="27.75" hidden="false" customHeight="true" outlineLevel="0" collapsed="false">
      <c r="A11" s="16"/>
      <c r="B11" s="16"/>
      <c r="C11" s="16"/>
      <c r="D11" s="16"/>
      <c r="E11" s="16"/>
      <c r="F11" s="16"/>
      <c r="G11" s="16"/>
    </row>
    <row r="12" customFormat="false" ht="27.75" hidden="false" customHeight="true" outlineLevel="0" collapsed="false">
      <c r="A12" s="16"/>
      <c r="B12" s="16"/>
      <c r="C12" s="16"/>
      <c r="D12" s="16"/>
      <c r="E12" s="16"/>
      <c r="F12" s="16"/>
      <c r="G12" s="16"/>
    </row>
    <row r="13" customFormat="false" ht="27.75" hidden="false" customHeight="true" outlineLevel="0" collapsed="false">
      <c r="A13" s="16"/>
      <c r="B13" s="16"/>
      <c r="C13" s="16"/>
      <c r="D13" s="16"/>
      <c r="E13" s="16"/>
      <c r="F13" s="16"/>
      <c r="G13" s="16"/>
    </row>
    <row r="14" customFormat="false" ht="27.75" hidden="false" customHeight="true" outlineLevel="0" collapsed="false">
      <c r="A14" s="16"/>
      <c r="B14" s="16"/>
      <c r="C14" s="16"/>
      <c r="D14" s="16"/>
      <c r="E14" s="16"/>
      <c r="F14" s="16"/>
      <c r="G14" s="16"/>
    </row>
    <row r="15" customFormat="false" ht="27.75" hidden="false" customHeight="true" outlineLevel="0" collapsed="false">
      <c r="A15" s="16"/>
      <c r="B15" s="16"/>
      <c r="C15" s="16"/>
      <c r="D15" s="16"/>
      <c r="E15" s="16"/>
      <c r="F15" s="16"/>
      <c r="G15" s="16"/>
    </row>
    <row r="16" customFormat="false" ht="27.75" hidden="false" customHeight="true" outlineLevel="0" collapsed="false">
      <c r="A16" s="16"/>
      <c r="B16" s="16"/>
      <c r="C16" s="16"/>
      <c r="D16" s="16"/>
      <c r="E16" s="16"/>
      <c r="F16" s="16"/>
      <c r="G16" s="16"/>
    </row>
    <row r="17" customFormat="false" ht="27.75" hidden="false" customHeight="true" outlineLevel="0" collapsed="false">
      <c r="A17" s="16"/>
      <c r="B17" s="16"/>
      <c r="C17" s="16"/>
      <c r="D17" s="16"/>
      <c r="E17" s="16"/>
      <c r="F17" s="16"/>
      <c r="G17" s="16"/>
    </row>
    <row r="18" customFormat="false" ht="27.75" hidden="false" customHeight="true" outlineLevel="0" collapsed="false">
      <c r="A18" s="16"/>
      <c r="B18" s="16"/>
      <c r="C18" s="16"/>
      <c r="D18" s="16"/>
      <c r="E18" s="16"/>
      <c r="F18" s="16"/>
      <c r="G18" s="16"/>
    </row>
    <row r="19" customFormat="false" ht="27.75" hidden="false" customHeight="true" outlineLevel="0" collapsed="false">
      <c r="A19" s="16"/>
      <c r="B19" s="16"/>
      <c r="C19" s="16"/>
      <c r="D19" s="16"/>
      <c r="E19" s="16"/>
      <c r="F19" s="16"/>
      <c r="G19" s="16"/>
    </row>
    <row r="20" customFormat="false" ht="27.75" hidden="false" customHeight="true" outlineLevel="0" collapsed="false">
      <c r="A20" s="16"/>
      <c r="B20" s="16"/>
      <c r="C20" s="16"/>
      <c r="D20" s="16"/>
      <c r="E20" s="16"/>
      <c r="F20" s="16"/>
      <c r="G20" s="16"/>
    </row>
    <row r="21" customFormat="false" ht="27.75" hidden="false" customHeight="true" outlineLevel="0" collapsed="false">
      <c r="A21" s="16"/>
      <c r="B21" s="16"/>
      <c r="C21" s="16"/>
      <c r="D21" s="16"/>
      <c r="E21" s="16"/>
      <c r="F21" s="16"/>
      <c r="G21" s="16"/>
    </row>
    <row r="22" customFormat="false" ht="27.75" hidden="false" customHeight="true" outlineLevel="0" collapsed="false">
      <c r="A22" s="16"/>
      <c r="B22" s="16"/>
      <c r="C22" s="16"/>
      <c r="D22" s="16"/>
      <c r="E22" s="16"/>
      <c r="F22" s="16"/>
      <c r="G22" s="16"/>
    </row>
    <row r="23" customFormat="false" ht="27.75" hidden="false" customHeight="true" outlineLevel="0" collapsed="false">
      <c r="A23" s="16"/>
      <c r="B23" s="16"/>
      <c r="C23" s="16"/>
      <c r="D23" s="16"/>
      <c r="E23" s="16"/>
      <c r="F23" s="16"/>
      <c r="G23" s="16"/>
    </row>
    <row r="24" customFormat="false" ht="27.75" hidden="false" customHeight="true" outlineLevel="0" collapsed="false">
      <c r="A24" s="16"/>
      <c r="B24" s="16"/>
      <c r="C24" s="16"/>
      <c r="D24" s="16"/>
      <c r="E24" s="16"/>
      <c r="F24" s="16"/>
      <c r="G24" s="16"/>
    </row>
    <row r="25" customFormat="false" ht="27.75" hidden="false" customHeight="true" outlineLevel="0" collapsed="false">
      <c r="A25" s="16"/>
      <c r="B25" s="16"/>
      <c r="C25" s="16"/>
      <c r="D25" s="16"/>
      <c r="E25" s="16"/>
      <c r="F25" s="16"/>
      <c r="G25" s="16"/>
    </row>
    <row r="26" customFormat="false" ht="27.75" hidden="false" customHeight="true" outlineLevel="0" collapsed="false">
      <c r="A26" s="16"/>
      <c r="B26" s="16"/>
      <c r="C26" s="16"/>
      <c r="D26" s="16"/>
      <c r="E26" s="16"/>
      <c r="F26" s="16"/>
      <c r="G26" s="16"/>
    </row>
    <row r="27" customFormat="false" ht="27.75" hidden="false" customHeight="true" outlineLevel="0" collapsed="false">
      <c r="A27" s="16"/>
      <c r="B27" s="16"/>
      <c r="C27" s="16"/>
      <c r="D27" s="16"/>
      <c r="E27" s="16"/>
      <c r="F27" s="16"/>
      <c r="G27" s="16"/>
    </row>
    <row r="28" customFormat="false" ht="27.75" hidden="false" customHeight="true" outlineLevel="0" collapsed="false">
      <c r="A28" s="16"/>
      <c r="B28" s="16"/>
      <c r="C28" s="16"/>
      <c r="D28" s="16"/>
      <c r="E28" s="16"/>
      <c r="F28" s="16"/>
      <c r="G28" s="16"/>
    </row>
    <row r="29" customFormat="false" ht="27.75" hidden="false" customHeight="true" outlineLevel="0" collapsed="false">
      <c r="A29" s="16"/>
      <c r="B29" s="16"/>
      <c r="C29" s="16"/>
      <c r="D29" s="16"/>
      <c r="E29" s="16"/>
      <c r="F29" s="16"/>
      <c r="G29" s="16"/>
    </row>
    <row r="30" customFormat="false" ht="27.75" hidden="false" customHeight="true" outlineLevel="0" collapsed="false">
      <c r="A30" s="16"/>
      <c r="B30" s="16"/>
      <c r="C30" s="16"/>
      <c r="D30" s="16"/>
      <c r="E30" s="16"/>
      <c r="F30" s="16"/>
      <c r="G30" s="16"/>
    </row>
    <row r="31" customFormat="false" ht="27.75" hidden="false" customHeight="true" outlineLevel="0" collapsed="false">
      <c r="A31" s="16"/>
      <c r="B31" s="16"/>
      <c r="C31" s="16"/>
      <c r="D31" s="16"/>
      <c r="E31" s="16"/>
      <c r="F31" s="16"/>
      <c r="G31" s="16"/>
    </row>
    <row r="32" customFormat="false" ht="27.75" hidden="false" customHeight="true" outlineLevel="0" collapsed="false">
      <c r="A32" s="16"/>
      <c r="B32" s="16"/>
      <c r="C32" s="16"/>
      <c r="D32" s="16"/>
      <c r="E32" s="16"/>
      <c r="F32" s="16"/>
      <c r="G32" s="16"/>
    </row>
    <row r="33" customFormat="false" ht="27.75" hidden="false" customHeight="true" outlineLevel="0" collapsed="false">
      <c r="A33" s="16"/>
      <c r="B33" s="16"/>
      <c r="C33" s="16"/>
      <c r="D33" s="16"/>
      <c r="E33" s="16"/>
      <c r="F33" s="16"/>
      <c r="G33" s="16"/>
    </row>
    <row r="34" customFormat="false" ht="27.75" hidden="false" customHeight="true" outlineLevel="0" collapsed="false">
      <c r="A34" s="16"/>
      <c r="B34" s="16"/>
      <c r="C34" s="16"/>
      <c r="D34" s="16"/>
      <c r="E34" s="16"/>
      <c r="F34" s="16"/>
      <c r="G34" s="16"/>
    </row>
    <row r="35" customFormat="false" ht="27.75" hidden="false" customHeight="true" outlineLevel="0" collapsed="false">
      <c r="A35" s="16"/>
      <c r="B35" s="16"/>
      <c r="C35" s="16"/>
      <c r="D35" s="16"/>
      <c r="E35" s="16"/>
      <c r="F35" s="16"/>
      <c r="G35" s="16"/>
    </row>
    <row r="36" customFormat="false" ht="27.75" hidden="false" customHeight="true" outlineLevel="0" collapsed="false">
      <c r="A36" s="16"/>
      <c r="B36" s="16"/>
      <c r="C36" s="16"/>
      <c r="D36" s="16"/>
      <c r="E36" s="16"/>
      <c r="F36" s="16"/>
      <c r="G36" s="16"/>
    </row>
    <row r="37" customFormat="false" ht="27.75" hidden="false" customHeight="true" outlineLevel="0" collapsed="false">
      <c r="A37" s="16"/>
      <c r="B37" s="16"/>
      <c r="C37" s="16"/>
      <c r="D37" s="16"/>
      <c r="E37" s="16"/>
      <c r="F37" s="16"/>
      <c r="G37" s="16"/>
    </row>
    <row r="38" customFormat="false" ht="27.75" hidden="false" customHeight="true" outlineLevel="0" collapsed="false">
      <c r="A38" s="16"/>
      <c r="B38" s="16"/>
      <c r="C38" s="16"/>
      <c r="D38" s="16"/>
      <c r="E38" s="16"/>
      <c r="F38" s="16"/>
      <c r="G38" s="16"/>
    </row>
    <row r="39" customFormat="false" ht="27.75" hidden="false" customHeight="true" outlineLevel="0" collapsed="false">
      <c r="A39" s="16"/>
      <c r="B39" s="16"/>
      <c r="C39" s="16"/>
      <c r="D39" s="16"/>
      <c r="E39" s="16"/>
      <c r="F39" s="16"/>
      <c r="G39" s="16"/>
    </row>
    <row r="40" customFormat="false" ht="27.75" hidden="false" customHeight="true" outlineLevel="0" collapsed="false">
      <c r="A40" s="16"/>
      <c r="B40" s="16"/>
      <c r="C40" s="16"/>
      <c r="D40" s="16"/>
      <c r="E40" s="16"/>
      <c r="F40" s="16"/>
      <c r="G40" s="16"/>
    </row>
    <row r="41" customFormat="false" ht="27.75" hidden="false" customHeight="true" outlineLevel="0" collapsed="false">
      <c r="A41" s="16"/>
      <c r="B41" s="16"/>
      <c r="C41" s="16"/>
      <c r="D41" s="16"/>
      <c r="E41" s="16"/>
      <c r="F41" s="16"/>
      <c r="G41" s="16"/>
    </row>
    <row r="42" customFormat="false" ht="27.75" hidden="false" customHeight="true" outlineLevel="0" collapsed="false">
      <c r="A42" s="16"/>
      <c r="B42" s="16"/>
      <c r="C42" s="16"/>
      <c r="D42" s="16"/>
      <c r="E42" s="16"/>
      <c r="F42" s="16"/>
      <c r="G42" s="16"/>
    </row>
    <row r="43" customFormat="false" ht="27.75" hidden="false" customHeight="true" outlineLevel="0" collapsed="false">
      <c r="A43" s="16"/>
      <c r="B43" s="16"/>
      <c r="C43" s="16"/>
      <c r="D43" s="16"/>
      <c r="E43" s="16"/>
      <c r="F43" s="16"/>
      <c r="G43" s="16"/>
    </row>
    <row r="44" customFormat="false" ht="27.75" hidden="false" customHeight="true" outlineLevel="0" collapsed="false">
      <c r="A44" s="16"/>
      <c r="B44" s="16"/>
      <c r="C44" s="16"/>
      <c r="D44" s="16"/>
      <c r="E44" s="16"/>
      <c r="F44" s="16"/>
      <c r="G44" s="16"/>
    </row>
    <row r="45" customFormat="false" ht="27.75" hidden="false" customHeight="true" outlineLevel="0" collapsed="false">
      <c r="A45" s="16"/>
      <c r="B45" s="16"/>
      <c r="C45" s="16"/>
      <c r="D45" s="16"/>
      <c r="E45" s="16"/>
      <c r="F45" s="16"/>
      <c r="G45" s="16"/>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2026-05-30T22:47:22Z</dcterms:created>
  <dc:creator>openpyxl</dc:creator>
  <dc:description/>
  <dc:language>en-US</dc:language>
  <cp:lastModifiedBy/>
  <dcterms:modified xsi:type="dcterms:W3CDTF">2026-05-30T22:47:22Z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